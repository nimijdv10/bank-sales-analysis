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/>
  <mc:AlternateContent xmlns:mc="http://schemas.openxmlformats.org/markup-compatibility/2006">
    <mc:Choice Requires="x15">
      <x15ac:absPath xmlns:x15ac="http://schemas.microsoft.com/office/spreadsheetml/2010/11/ac" url="/Users/nimishajadav/Downloads/"/>
    </mc:Choice>
  </mc:AlternateContent>
  <xr:revisionPtr revIDLastSave="0" documentId="13_ncr:1_{64286916-E171-D14F-A921-3561D0B6C6B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Key Findings" sheetId="11" r:id="rId1"/>
    <sheet name="Overall" sheetId="1" r:id="rId2"/>
    <sheet name="By_Job" sheetId="2" r:id="rId3"/>
    <sheet name="Sheet1" sheetId="8" r:id="rId4"/>
    <sheet name="By_Education" sheetId="3" r:id="rId5"/>
    <sheet name="Sheet2" sheetId="9" r:id="rId6"/>
    <sheet name="By_Month" sheetId="4" r:id="rId7"/>
    <sheet name="By_Campaign" sheetId="5" r:id="rId8"/>
    <sheet name="Sheet3" sheetId="10" r:id="rId9"/>
    <sheet name="JobxEdu" sheetId="6" r:id="rId10"/>
    <sheet name="By_Outcome" sheetId="7" r:id="rId11"/>
  </sheets>
  <calcPr calcId="191029"/>
  <pivotCaches>
    <pivotCache cacheId="0" r:id="rId12"/>
    <pivotCache cacheId="1" r:id="rId13"/>
    <pivotCache cacheId="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2" i="7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5"/>
  <c r="E4" i="5"/>
  <c r="E5" i="5"/>
  <c r="E6" i="5"/>
  <c r="E7" i="5"/>
  <c r="E8" i="5"/>
  <c r="E9" i="5"/>
  <c r="E10" i="5"/>
  <c r="E11" i="5"/>
  <c r="E12" i="5"/>
  <c r="E13" i="5"/>
  <c r="E14" i="5"/>
  <c r="E2" i="5"/>
  <c r="E3" i="4"/>
  <c r="E4" i="4"/>
  <c r="E5" i="4"/>
  <c r="E6" i="4"/>
  <c r="E7" i="4"/>
  <c r="E8" i="4"/>
  <c r="E9" i="4"/>
  <c r="E10" i="4"/>
  <c r="E11" i="4"/>
  <c r="E12" i="4"/>
  <c r="E13" i="4"/>
  <c r="E2" i="4"/>
  <c r="G3" i="3"/>
  <c r="G4" i="3"/>
  <c r="G2" i="3"/>
  <c r="E3" i="2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<sst xmlns="http://schemas.openxmlformats.org/spreadsheetml/2006/main" count="236" uniqueCount="107">
  <si>
    <t>converted</t>
  </si>
  <si>
    <t>total</t>
  </si>
  <si>
    <t>conv_rate</t>
  </si>
  <si>
    <t>call_to_conv_rate</t>
  </si>
  <si>
    <t>job</t>
  </si>
  <si>
    <t>student</t>
  </si>
  <si>
    <t>retired</t>
  </si>
  <si>
    <t>unemployed</t>
  </si>
  <si>
    <t>management</t>
  </si>
  <si>
    <t>admin.</t>
  </si>
  <si>
    <t>self-employed</t>
  </si>
  <si>
    <t>technician</t>
  </si>
  <si>
    <t>services</t>
  </si>
  <si>
    <t>housemaid</t>
  </si>
  <si>
    <t>entrepreneur</t>
  </si>
  <si>
    <t>blue-collar</t>
  </si>
  <si>
    <t>education</t>
  </si>
  <si>
    <t>total_call_perc</t>
  </si>
  <si>
    <t>pct_of_conversions</t>
  </si>
  <si>
    <t>tertiary</t>
  </si>
  <si>
    <t>secondary</t>
  </si>
  <si>
    <t>primary</t>
  </si>
  <si>
    <t>month</t>
  </si>
  <si>
    <t>pct_conv_rate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</si>
  <si>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</si>
  <si>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</si>
  <si>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</si>
  <si>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</si>
  <si>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</si>
  <si>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</si>
  <si>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</si>
  <si>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</si>
  <si>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</si>
  <si>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</si>
  <si>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</si>
  <si>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</si>
  <si>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campaign</t>
  </si>
  <si>
    <t>change_from_call1</t>
  </si>
  <si>
    <t>pct_change</t>
  </si>
  <si>
    <t>call_to_conv_ratio</t>
  </si>
  <si>
    <t>poutcome</t>
  </si>
  <si>
    <t>total_called</t>
  </si>
  <si>
    <t>success</t>
  </si>
  <si>
    <t>other</t>
  </si>
  <si>
    <t>failure</t>
  </si>
  <si>
    <t>unknown</t>
  </si>
  <si>
    <t>Column Labels</t>
  </si>
  <si>
    <t>Grand Total</t>
  </si>
  <si>
    <t>Sum of conv_rate</t>
  </si>
  <si>
    <t>vs Average</t>
  </si>
  <si>
    <t>Total Called</t>
  </si>
  <si>
    <t>conv_rateConversion Rate</t>
  </si>
  <si>
    <t>Converted</t>
  </si>
  <si>
    <t>Conversion Rate</t>
  </si>
  <si>
    <t>Education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</si>
  <si>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</si>
  <si>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</si>
  <si>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</si>
  <si>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</si>
  <si>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</si>
  <si>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</si>
  <si>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</si>
  <si>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</si>
  <si>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</si>
  <si>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</si>
  <si>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</si>
  <si>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</si>
  <si>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Insights</t>
  </si>
  <si>
    <t>Low Receptivity due to holiday/summer</t>
  </si>
  <si>
    <t>Moderate Period</t>
  </si>
  <si>
    <t>High intent due to financial planning season</t>
  </si>
  <si>
    <t>Zone</t>
  </si>
  <si>
    <t>GOLDEN WINDOW</t>
  </si>
  <si>
    <t>DIMINISHING</t>
  </si>
  <si>
    <t>WASTED</t>
  </si>
  <si>
    <t>Insight</t>
  </si>
  <si>
    <t>Highest priority - warm leads</t>
  </si>
  <si>
    <t>Slightly above average</t>
  </si>
  <si>
    <t>Small group - investigate</t>
  </si>
  <si>
    <t>cold contacts - lowest rate</t>
  </si>
  <si>
    <t>#</t>
  </si>
  <si>
    <t>Category</t>
  </si>
  <si>
    <t>Supporting Numbers</t>
  </si>
  <si>
    <t>Recommendation</t>
  </si>
  <si>
    <t>Overall Performance</t>
  </si>
  <si>
    <t>Best Segment</t>
  </si>
  <si>
    <t>Worst Segment</t>
  </si>
  <si>
    <t>Redirect 30% of blue-collar call volume to retired and student segments immediately</t>
  </si>
  <si>
    <t>Previous Subscribers</t>
  </si>
  <si>
    <t>~65% conv rate  |  poutcome = success  |  6x the 11.27% average  |  Most actionable target</t>
  </si>
  <si>
    <t>Build a priority callback list of all previous subscribers before any cold outreach begins</t>
  </si>
  <si>
    <t>Contact Strategy</t>
  </si>
  <si>
    <t>Cap outreach at 3 attempts per customer and reallocate remaining capacity to fresh leads</t>
  </si>
  <si>
    <t xml:space="preserve">  LEGEND:  🟢 Green = above average / opportunity   🔴 Red = below average / problem   🟡 Yellow = neutral benchmark</t>
  </si>
  <si>
    <t>BANK SALES CAMPAIGN  :  KEY FINDINGS SUMMARY</t>
  </si>
  <si>
    <t>Analysis of 45,211 bank calls  |  Overall conversion rate: 11.7%  |  5 key findings</t>
  </si>
  <si>
    <t>The bank converted 11.7% of all 45,211 calls, meaning 88.3% of effort produced no result</t>
  </si>
  <si>
    <t>11.7% overall  |  5,289 yes from 45,211 calls  |  Benchmark for all comparisons</t>
  </si>
  <si>
    <t>Use 11.7% as the benchmark. Every segment above this is efficient, below is wasteful</t>
  </si>
  <si>
    <t>Secondary-educated students convert at 29.72% which is 2.5x the average, needing only ~3.4 calls per conversion</t>
  </si>
  <si>
    <t>29.72% conv rate  |  508 customers  |  3.36 calls per conversion vs 8.55 average</t>
  </si>
  <si>
    <t>Increase call volume to student segment. Currently receiving &lt;3% of total calls despite highest rate</t>
  </si>
  <si>
    <t>Blue-collar workers convert at 7.27% yet receive 21.5% of all calls indicating the biggest resource misallocation</t>
  </si>
  <si>
    <t>7.27% conv rate  |  9,732 calls  |  13.39 calls per conversion  |  35% below average</t>
  </si>
  <si>
    <t>Customers who subscribed in a previous campaign convert at ~65% which is approximately six times the overall average</t>
  </si>
  <si>
    <t>14.6% at call 1  →  9.0% at call 4  →  2.6% at call 12</t>
  </si>
  <si>
    <t>Conversion drops below average at the 4th contact attempt and calls beyond 3 return diminishing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</si>
</sst>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5"/>
      <color rgb="FFFFFFFF"/>
      <name val="Arial"/>
      <family val="2"/>
    </font>
    <font>
      <i/>
      <sz val="10"/>
      <color rgb="FF1B4F8A"/>
      <name val="Arial"/>
      <family val="2"/>
    </font>
    <font>
      <b/>
      <sz val="11"/>
      <color rgb="FFFFFFFF"/>
      <name val="Arial"/>
      <family val="2"/>
    </font>
    <font>
      <b/>
      <sz val="13"/>
      <color rgb="FF7D6608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D6608"/>
      <name val="Arial"/>
      <family val="2"/>
    </font>
    <font>
      <i/>
      <sz val="10"/>
      <color rgb="FF000000"/>
      <name val="Arial"/>
      <family val="2"/>
    </font>
    <font>
      <b/>
      <sz val="13"/>
      <color rgb="FF1E8449"/>
      <name val="Arial"/>
      <family val="2"/>
    </font>
    <font>
      <b/>
      <sz val="10"/>
      <color rgb="FF1E8449"/>
      <name val="Arial"/>
      <family val="2"/>
    </font>
    <font>
      <b/>
      <sz val="13"/>
      <color rgb="FFC0392B"/>
      <name val="Arial"/>
      <family val="2"/>
    </font>
    <font>
      <b/>
      <sz val="10"/>
      <color rgb="FFC0392B"/>
      <name val="Arial"/>
      <family val="2"/>
    </font>
    <font>
      <i/>
      <sz val="9"/>
      <color rgb="FF555555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4F8A"/>
      </patternFill>
    </fill>
    <fill>
      <patternFill patternType="solid">
        <fgColor rgb="FFD6E4F0"/>
      </patternFill>
    </fill>
    <fill>
      <patternFill patternType="solid">
        <fgColor rgb="FFFCF3CF"/>
      </patternFill>
    </fill>
    <fill>
      <patternFill patternType="solid">
        <fgColor rgb="FFFEF9E7"/>
      </patternFill>
    </fill>
    <fill>
      <patternFill patternType="solid">
        <fgColor rgb="FFA9DFBF"/>
      </patternFill>
    </fill>
    <fill>
      <patternFill patternType="solid">
        <fgColor rgb="FFD5F5E3"/>
      </patternFill>
    </fill>
    <fill>
      <patternFill patternType="solid">
        <fgColor rgb="FFF1948A"/>
      </patternFill>
    </fill>
    <fill>
      <patternFill patternType="solid">
        <fgColor rgb="FFFADBD8"/>
      </patternFill>
    </fill>
    <fill>
      <patternFill patternType="solid">
        <fgColor rgb="FFF2F3F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8">
    <xf numFmtId="0" fontId="0" fillId="0" borderId="0"/>
    <xf numFmtId="0" fontId="2" fillId="0" borderId="2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38">
    <xf numFmtId="0" fontId="0" fillId="0" borderId="0" xfId="0"/>
    <xf numFmtId="0" fontId="0" fillId="0" borderId="0" xfId="0" pivotButton="1"/>
    <xf numFmtId="0" fontId="7" fillId="8" borderId="1" xfId="1" applyFont="1" applyFill="1" applyBorder="1" applyAlignment="1">
      <alignment horizontal="center" vertical="center"/>
    </xf>
    <xf numFmtId="0" fontId="3" fillId="2" borderId="1" xfId="2" applyBorder="1"/>
    <xf numFmtId="0" fontId="4" fillId="3" borderId="1" xfId="3" applyBorder="1"/>
    <xf numFmtId="0" fontId="7" fillId="8" borderId="3" xfId="1" applyFont="1" applyFill="1" applyBorder="1" applyAlignment="1">
      <alignment horizontal="center" vertical="center"/>
    </xf>
    <xf numFmtId="0" fontId="9" fillId="2" borderId="1" xfId="2" applyFont="1" applyBorder="1"/>
    <xf numFmtId="0" fontId="9" fillId="3" borderId="1" xfId="3" applyFont="1" applyBorder="1"/>
    <xf numFmtId="0" fontId="5" fillId="4" borderId="1" xfId="4" applyBorder="1"/>
    <xf numFmtId="0" fontId="6" fillId="2" borderId="1" xfId="2" applyFont="1" applyBorder="1"/>
    <xf numFmtId="0" fontId="6" fillId="4" borderId="1" xfId="4" applyFont="1" applyBorder="1"/>
    <xf numFmtId="0" fontId="6" fillId="3" borderId="1" xfId="3" applyFont="1" applyBorder="1"/>
    <xf numFmtId="0" fontId="10" fillId="2" borderId="1" xfId="2" applyFont="1" applyBorder="1"/>
    <xf numFmtId="0" fontId="11" fillId="3" borderId="1" xfId="3" applyFont="1" applyBorder="1"/>
    <xf numFmtId="0" fontId="6" fillId="6" borderId="1" xfId="6" applyFont="1" applyBorder="1"/>
    <xf numFmtId="0" fontId="6" fillId="5" borderId="1" xfId="5" applyFont="1" applyBorder="1"/>
    <xf numFmtId="0" fontId="1" fillId="7" borderId="1" xfId="7" applyBorder="1"/>
    <xf numFmtId="0" fontId="6" fillId="7" borderId="1" xfId="7" applyFont="1" applyBorder="1"/>
    <xf numFmtId="0" fontId="12" fillId="8" borderId="0" xfId="0" applyFont="1" applyFill="1" applyAlignment="1">
      <alignment horizontal="center" vertical="center"/>
    </xf>
    <xf numFmtId="0" fontId="0" fillId="0" borderId="0" xfId="0"/>
    <xf numFmtId="0" fontId="13" fillId="9" borderId="0" xfId="0" applyFont="1" applyFill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left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19" fillId="11" borderId="4" xfId="0" applyFont="1" applyFill="1" applyBorder="1" applyAlignment="1">
      <alignment horizontal="left" vertical="center" wrapText="1"/>
    </xf>
    <xf numFmtId="0" fontId="20" fillId="12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21" fillId="12" borderId="4" xfId="0" applyFont="1" applyFill="1" applyBorder="1" applyAlignment="1">
      <alignment horizontal="left" vertical="center" wrapText="1"/>
    </xf>
    <xf numFmtId="0" fontId="19" fillId="13" borderId="4" xfId="0" applyFont="1" applyFill="1" applyBorder="1" applyAlignment="1">
      <alignment horizontal="left" vertical="center" wrapText="1"/>
    </xf>
    <xf numFmtId="0" fontId="22" fillId="14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23" fillId="14" borderId="4" xfId="0" applyFont="1" applyFill="1" applyBorder="1" applyAlignment="1">
      <alignment horizontal="left" vertical="center" wrapText="1"/>
    </xf>
    <xf numFmtId="0" fontId="19" fillId="15" borderId="4" xfId="0" applyFont="1" applyFill="1" applyBorder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</cellXfs>
  <cellStyles count="8">
    <cellStyle name="60% - Accent2" xfId="5" builtinId="36"/>
    <cellStyle name="60% - Accent3" xfId="6" builtinId="40"/>
    <cellStyle name="60% - Accent6" xfId="7" builtinId="52"/>
    <cellStyle name="Bad" xfId="3" builtinId="27"/>
    <cellStyle name="Good" xfId="2" builtinId="26"/>
    <cellStyle name="Heading 1" xfId="1" builtinId="16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[bank_analysis_segments.xlsx]Sheet1!PivotTable1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28.68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2-5146-8DB6-F11453224B6F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retired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Sheet1!$C$3</c:f>
              <c:numCache>
                <c:formatCode>General</c:formatCode>
                <c:ptCount val="1"/>
                <c:pt idx="0">
                  <c:v>22.79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2-5146-8DB6-F11453224B6F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Sheet1!$D$3</c:f>
              <c:numCache>
                <c:formatCode>General</c:formatCode>
                <c:ptCount val="1"/>
                <c:pt idx="0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2-5146-8DB6-F11453224B6F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Sheet1!$E$3</c:f>
              <c:numCache>
                <c:formatCode>General</c:formatCode>
                <c:ptCount val="1"/>
                <c:pt idx="0">
                  <c:v>13.76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2-5146-8DB6-F11453224B6F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admin.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Sheet1!$F$3</c:f>
              <c:numCache>
                <c:formatCode>General</c:formatCode>
                <c:ptCount val="1"/>
                <c:pt idx="0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2-5146-8DB6-F11453224B6F}"/>
            </c:ext>
          </c:extLst>
        </c:ser>
        <c:ser>
          <c:idx val="5"/>
          <c:order val="5"/>
          <c:tx>
            <c:strRef>
              <c:f>Sheet1!$G$1:$G$2</c:f>
              <c:strCache>
                <c:ptCount val="1"/>
                <c:pt idx="0">
                  <c:v>self-employed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Sheet1!$G$3</c:f>
              <c:numCache>
                <c:formatCode>General</c:formatCode>
                <c:ptCount val="1"/>
                <c:pt idx="0">
                  <c:v>11.84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2-5146-8DB6-F11453224B6F}"/>
            </c:ext>
          </c:extLst>
        </c:ser>
        <c:ser>
          <c:idx val="6"/>
          <c:order val="6"/>
          <c:tx>
            <c:strRef>
              <c:f>Sheet1!$H$1:$H$2</c:f>
              <c:strCache>
                <c:ptCount val="1"/>
                <c:pt idx="0">
                  <c:v>technician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Sheet1!$H$3</c:f>
              <c:numCache>
                <c:formatCode>General</c:formatCode>
                <c:ptCount val="1"/>
                <c:pt idx="0">
                  <c:v>11.06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2-5146-8DB6-F11453224B6F}"/>
            </c:ext>
          </c:extLst>
        </c:ser>
        <c:ser>
          <c:idx val="7"/>
          <c:order val="7"/>
          <c:tx>
            <c:strRef>
              <c:f>Sheet1!$I$1:$I$2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Sheet1!$I$3</c:f>
              <c:numCache>
                <c:formatCode>General</c:formatCode>
                <c:ptCount val="1"/>
                <c:pt idx="0">
                  <c:v>8.8800000000000008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2-5146-8DB6-F11453224B6F}"/>
            </c:ext>
          </c:extLst>
        </c:ser>
        <c:ser>
          <c:idx val="8"/>
          <c:order val="8"/>
          <c:tx>
            <c:strRef>
              <c:f>Sheet1!$J$1:$J$2</c:f>
              <c:strCache>
                <c:ptCount val="1"/>
                <c:pt idx="0">
                  <c:v>housemaid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Sheet1!$J$3</c:f>
              <c:numCache>
                <c:formatCode>General</c:formatCode>
                <c:ptCount val="1"/>
                <c:pt idx="0">
                  <c:v>8.7899999999999991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2-5146-8DB6-F11453224B6F}"/>
            </c:ext>
          </c:extLst>
        </c:ser>
        <c:ser>
          <c:idx val="9"/>
          <c:order val="9"/>
          <c:tx>
            <c:strRef>
              <c:f>Sheet1!$K$1:$K$2</c:f>
              <c:strCache>
                <c:ptCount val="1"/>
                <c:pt idx="0">
                  <c:v>entrepreneur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Sheet1!$K$3</c:f>
              <c:numCache>
                <c:formatCode>General</c:formatCode>
                <c:ptCount val="1"/>
                <c:pt idx="0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2-5146-8DB6-F11453224B6F}"/>
            </c:ext>
          </c:extLst>
        </c:ser>
        <c:ser>
          <c:idx val="10"/>
          <c:order val="10"/>
          <c:tx>
            <c:strRef>
              <c:f>Sheet1!$L$1:$L$2</c:f>
              <c:strCache>
                <c:ptCount val="1"/>
                <c:pt idx="0">
                  <c:v>blue-collar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Sheet1!$L$3</c:f>
              <c:numCache>
                <c:formatCode>General</c:formatCode>
                <c:ptCount val="1"/>
                <c:pt idx="0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2-5146-8DB6-F11453224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75488"/>
        <c:axId val="972977280"/>
      </c:barChart>
      <c:catAx>
        <c:axId val="9729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77280"/>
        <c:crosses val="autoZero"/>
        <c:auto val="1"/>
        <c:lblAlgn val="ctr"/>
        <c:lblOffset val="100"/>
        <c:noMultiLvlLbl val="0"/>
      </c:catAx>
      <c:valAx>
        <c:axId val="9729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[bank_analysis_segments.xlsx]Sheet2!PivotTable2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Sheet2!$B$6</c:f>
              <c:numCache>
                <c:formatCode>General</c:formatCode>
                <c:ptCount val="1"/>
                <c:pt idx="0">
                  <c:v>10.119999999999999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2-D241-84F0-9583BEC086AB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Sheet2!$C$6</c:f>
              <c:numCache>
                <c:formatCode>General</c:formatCode>
                <c:ptCount val="1"/>
                <c:pt idx="0">
                  <c:v>16.649999999999999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2-D241-84F0-9583BEC086AB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Sheet2!$D$6</c:f>
              <c:numCache>
                <c:formatCode>General</c:formatCode>
                <c:ptCount val="1"/>
                <c:pt idx="0">
                  <c:v>51.99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2-D241-84F0-9583BEC086AB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Sheet2!$E$6</c:f>
              <c:numCache>
                <c:formatCode>General</c:formatCode>
                <c:ptCount val="1"/>
                <c:pt idx="0">
                  <c:v>19.68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2-D241-84F0-9583BEC086AB}"/>
            </c:ext>
          </c:extLst>
        </c:ser>
        <c:ser>
          <c:idx val="4"/>
          <c:order val="4"/>
          <c:tx>
            <c:strRef>
              <c:f>Sheet2!$F$4:$F$5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Sheet2!$F$6</c:f>
              <c:numCache>
                <c:formatCode>General</c:formatCode>
                <c:ptCount val="1"/>
                <c:pt idx="0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2-D241-84F0-9583BEC086AB}"/>
            </c:ext>
          </c:extLst>
        </c:ser>
        <c:ser>
          <c:idx val="5"/>
          <c:order val="5"/>
          <c:tx>
            <c:strRef>
              <c:f>Sheet2!$G$4:$G$5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Sheet2!$G$6</c:f>
              <c:numCache>
                <c:formatCode>General</c:formatCode>
                <c:ptCount val="1"/>
                <c:pt idx="0">
                  <c:v>10.220000000000001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2-D241-84F0-9583BEC086AB}"/>
            </c:ext>
          </c:extLst>
        </c:ser>
        <c:ser>
          <c:idx val="6"/>
          <c:order val="6"/>
          <c:tx>
            <c:strRef>
              <c:f>Sheet2!$H$4:$H$5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Sheet2!$H$6</c:f>
              <c:numCache>
                <c:formatCode>General</c:formatCode>
                <c:ptCount val="1"/>
                <c:pt idx="0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C2-D241-84F0-9583BEC086AB}"/>
            </c:ext>
          </c:extLst>
        </c:ser>
        <c:ser>
          <c:idx val="7"/>
          <c:order val="7"/>
          <c:tx>
            <c:strRef>
              <c:f>Sheet2!$I$4:$I$5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Sheet2!$I$6</c:f>
              <c:numCache>
                <c:formatCode>General</c:formatCode>
                <c:ptCount val="1"/>
                <c:pt idx="0">
                  <c:v>11.01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C2-D241-84F0-9583BEC086AB}"/>
            </c:ext>
          </c:extLst>
        </c:ser>
        <c:ser>
          <c:idx val="8"/>
          <c:order val="8"/>
          <c:tx>
            <c:strRef>
              <c:f>Sheet2!$J$4:$J$5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Sheet2!$J$6</c:f>
              <c:numCache>
                <c:formatCode>General</c:formatCode>
                <c:ptCount val="1"/>
                <c:pt idx="0">
                  <c:v>46.46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C2-D241-84F0-9583BEC086AB}"/>
            </c:ext>
          </c:extLst>
        </c:ser>
        <c:ser>
          <c:idx val="9"/>
          <c:order val="9"/>
          <c:tx>
            <c:strRef>
              <c:f>Sheet2!$K$4:$K$5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Sheet2!$K$6</c:f>
              <c:numCache>
                <c:formatCode>General</c:formatCode>
                <c:ptCount val="1"/>
                <c:pt idx="0">
                  <c:v>43.77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C2-D241-84F0-9583BEC086AB}"/>
            </c:ext>
          </c:extLst>
        </c:ser>
        <c:ser>
          <c:idx val="10"/>
          <c:order val="10"/>
          <c:tx>
            <c:strRef>
              <c:f>Sheet2!$L$4:$L$5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Sheet2!$L$6</c:f>
              <c:numCache>
                <c:formatCode>General</c:formatCode>
                <c:ptCount val="1"/>
                <c:pt idx="0">
                  <c:v>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C2-D241-84F0-9583BEC086AB}"/>
            </c:ext>
          </c:extLst>
        </c:ser>
        <c:ser>
          <c:idx val="11"/>
          <c:order val="11"/>
          <c:tx>
            <c:strRef>
              <c:f>Sheet2!$M$4:$M$5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Sheet2!$M$6</c:f>
              <c:numCache>
                <c:formatCode>General</c:formatCode>
                <c:ptCount val="1"/>
                <c:pt idx="0">
                  <c:v>46.73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C2-D241-84F0-9583BEC0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26848"/>
        <c:axId val="871165760"/>
      </c:barChart>
      <c:catAx>
        <c:axId val="8753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65760"/>
        <c:crosses val="autoZero"/>
        <c:auto val="1"/>
        <c:lblAlgn val="ctr"/>
        <c:lblOffset val="100"/>
        <c:noMultiLvlLbl val="0"/>
      </c:catAx>
      <c:valAx>
        <c:axId val="8711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[bank_analysis_segments.xlsx]Sheet3!PivotTable3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retired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Sheet3!$B$5</c:f>
              <c:numCache>
                <c:formatCode>General</c:formatCode>
                <c:ptCount val="1"/>
                <c:pt idx="0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A-874E-A862-F133EA2E8C3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Sheet3!$C$5</c:f>
              <c:numCache>
                <c:formatCode>General</c:formatCode>
                <c:ptCount val="1"/>
                <c:pt idx="0">
                  <c:v>26.46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749A-874E-A862-F133EA2E8C3E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19.38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749A-874E-A862-F133EA2E8C3E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admin.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Sheet3!$E$5</c:f>
              <c:numCache>
                <c:formatCode>General</c:formatCode>
                <c:ptCount val="1"/>
                <c:pt idx="0">
                  <c:v>17.309999999999999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749A-874E-A862-F133EA2E8C3E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blue-collar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Sheet3!$F$5</c:f>
              <c:numCache>
                <c:formatCode>General</c:formatCode>
                <c:ptCount val="1"/>
                <c:pt idx="0">
                  <c:v>16.11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749A-874E-A862-F133EA2E8C3E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self-employed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Sheet3!$G$5</c:f>
              <c:numCache>
                <c:formatCode>General</c:formatCode>
                <c:ptCount val="1"/>
                <c:pt idx="0">
                  <c:v>16.09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749A-874E-A862-F133EA2E8C3E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Sheet3!$H$5</c:f>
              <c:numCache>
                <c:formatCode>General</c:formatCode>
                <c:ptCount val="1"/>
                <c:pt idx="0">
                  <c:v>14.54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749A-874E-A862-F133EA2E8C3E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technician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Sheet3!$I$5</c:f>
              <c:numCache>
                <c:formatCode>General</c:formatCode>
                <c:ptCount val="1"/>
                <c:pt idx="0">
                  <c:v>14.53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749A-874E-A862-F133EA2E8C3E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housemaid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Sheet3!$J$5</c:f>
              <c:numCache>
                <c:formatCode>General</c:formatCode>
                <c:ptCount val="1"/>
                <c:pt idx="0">
                  <c:v>12.72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749A-874E-A862-F133EA2E8C3E}"/>
            </c:ext>
          </c:extLst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Sheet3!$K$5</c:f>
              <c:numCache>
                <c:formatCode>General</c:formatCode>
                <c:ptCount val="1"/>
                <c:pt idx="0">
                  <c:v>12.38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749A-874E-A862-F133EA2E8C3E}"/>
            </c:ext>
          </c:extLst>
        </c:ser>
        <c:ser>
          <c:idx val="10"/>
          <c:order val="10"/>
          <c:tx>
            <c:strRef>
              <c:f>Sheet3!$L$3:$L$4</c:f>
              <c:strCache>
                <c:ptCount val="1"/>
                <c:pt idx="0">
                  <c:v>entrepreneur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Sheet3!$L$5</c:f>
              <c:numCache>
                <c:formatCode>General</c:formatCode>
                <c:ptCount val="1"/>
                <c:pt idx="0">
                  <c:v>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749A-874E-A862-F133EA2E8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423808"/>
        <c:axId val="852422016"/>
      </c:barChart>
      <c:catAx>
        <c:axId val="85242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22016"/>
        <c:crosses val="autoZero"/>
        <c:auto val="1"/>
        <c:lblAlgn val="ctr"/>
        <c:lblOffset val="100"/>
        <c:noMultiLvlLbl val="0"/>
      </c:catAx>
      <c:valAx>
        <c:axId val="8524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2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9</xdr:row>
      <xdr:rowOff>12700</xdr:rowOff>
    </xdr:from>
    <xdr:to>
      <xdr:col>13</xdr:col>
      <xdr:colOff>660400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630A1-E21F-79B5-13D8-EB1089A0C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6</xdr:row>
      <xdr:rowOff>139700</xdr:rowOff>
    </xdr:from>
    <xdr:to>
      <xdr:col>17</xdr:col>
      <xdr:colOff>469900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BD83B-4000-D871-FA5C-464365745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444500</xdr:colOff>
      <xdr:row>10</xdr:row>
      <xdr:rowOff>12700</xdr:rowOff>
    </xdr:from>
    <xdr:to>
      <xdr:col>15</xdr:col>
      <xdr:colOff>444500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C167F-3C25-8E19-4DF4-A1DA07894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isha Jadav" refreshedDate="46173.497016203706" createdVersion="8" refreshedVersion="8" minRefreshableVersion="3" recordCount="11" xr:uid="{C6ABBE19-B000-2C46-A7C5-B450B309AE10}">
  <cacheSource type="worksheet">
    <worksheetSource ref="A1:D12" sheet="By_Job"/>
  </cacheSource>
  <cacheFields count="4">
    <cacheField name="job" numFmtId="0">
      <sharedItems count="11">
        <s v="student"/>
        <s v="retired"/>
        <s v="unemployed"/>
        <s v="management"/>
        <s v="admin."/>
        <s v="self-employed"/>
        <s v="technician"/>
        <s v="services"/>
        <s v="housemaid"/>
        <s v="entrepreneur"/>
        <s v="blue-collar"/>
      </sharedItems>
    </cacheField>
    <cacheField name="total" numFmtId="0">
      <sharedItems containsSemiMixedTypes="0" containsString="0" containsNumber="1" containsInteger="1" minValue="938" maxValue="9732" count="11">
        <n v="938"/>
        <n v="2264"/>
        <n v="1303"/>
        <n v="9458"/>
        <n v="5171"/>
        <n v="1579"/>
        <n v="7597"/>
        <n v="4154"/>
        <n v="1240"/>
        <n v="1487"/>
        <n v="9732"/>
      </sharedItems>
    </cacheField>
    <cacheField name="converted" numFmtId="0">
      <sharedItems containsSemiMixedTypes="0" containsString="0" containsNumber="1" containsInteger="1" minValue="109" maxValue="1301"/>
    </cacheField>
    <cacheField name="conv_rate" numFmtId="0">
      <sharedItems containsSemiMixedTypes="0" containsString="0" containsNumber="1" minValue="7.27" maxValue="28.68" count="11">
        <n v="28.68"/>
        <n v="22.79"/>
        <n v="15.5"/>
        <n v="13.76"/>
        <n v="12.2"/>
        <n v="11.84"/>
        <n v="11.06"/>
        <n v="8.8800000000000008"/>
        <n v="8.7899999999999991"/>
        <n v="8.27"/>
        <n v="7.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isha Jadav" refreshedDate="46173.500845949071" createdVersion="8" refreshedVersion="8" minRefreshableVersion="3" recordCount="12" xr:uid="{AEC13EDD-2808-154E-8CE4-84F7FF894807}">
  <cacheSource type="worksheet">
    <worksheetSource ref="A1:D13" sheet="By_Month"/>
  </cacheSource>
  <cacheFields count="4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total" numFmtId="0">
      <sharedItems containsSemiMixedTypes="0" containsString="0" containsNumber="1" containsInteger="1" minValue="214" maxValue="13766"/>
    </cacheField>
    <cacheField name="conv_rate" numFmtId="0">
      <sharedItems containsSemiMixedTypes="0" containsString="0" containsNumber="1" minValue="6.72" maxValue="51.99" count="12">
        <n v="10.119999999999999"/>
        <n v="16.649999999999999"/>
        <n v="51.99"/>
        <n v="19.68"/>
        <n v="6.72"/>
        <n v="10.220000000000001"/>
        <n v="9.09"/>
        <n v="11.01"/>
        <n v="46.46"/>
        <n v="43.77"/>
        <n v="10.15"/>
        <n v="46.73"/>
      </sharedItems>
    </cacheField>
    <cacheField name="pct_conv_rate" numFmtId="0">
      <sharedItems containsSemiMixedTypes="0" containsString="0" containsNumber="1" minValue="1.89" maxValue="17.489999999999998" count="12">
        <n v="2.68"/>
        <n v="8.34"/>
        <n v="4.6900000000000004"/>
        <n v="10.91"/>
        <n v="17.489999999999998"/>
        <n v="10.32"/>
        <n v="11.85"/>
        <n v="13.01"/>
        <n v="5.09"/>
        <n v="6.11"/>
        <n v="7.62"/>
        <n v="1.8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isha Jadav" refreshedDate="46173.504412152775" createdVersion="8" refreshedVersion="8" minRefreshableVersion="3" recordCount="32" xr:uid="{1C41AF76-4FC3-F048-958D-534318C5B1FC}">
  <cacheSource type="worksheet">
    <worksheetSource ref="A1:E33" sheet="JobxEdu"/>
  </cacheSource>
  <cacheFields count="5">
    <cacheField name="education" numFmtId="0">
      <sharedItems count="3">
        <s v="secondary"/>
        <s v="tertiary"/>
        <s v="primary"/>
      </sharedItems>
    </cacheField>
    <cacheField name="job" numFmtId="0">
      <sharedItems count="11">
        <s v="student"/>
        <s v="retired"/>
        <s v="unemployed"/>
        <s v="admin."/>
        <s v="blue-collar"/>
        <s v="self-employed"/>
        <s v="management"/>
        <s v="technician"/>
        <s v="housemaid"/>
        <s v="services"/>
        <s v="entrepreneur"/>
      </sharedItems>
    </cacheField>
    <cacheField name="total" numFmtId="0">
      <sharedItems containsSemiMixedTypes="0" containsString="0" containsNumber="1" containsInteger="1" minValue="130" maxValue="7801"/>
    </cacheField>
    <cacheField name="conv_rate" numFmtId="0">
      <sharedItems containsSemiMixedTypes="0" containsString="0" containsNumber="1" minValue="3.85" maxValue="29.72"/>
    </cacheField>
    <cacheField name="call_to_conv_ratio" numFmtId="0">
      <sharedItems containsSemiMixedTypes="0" containsString="0" containsNumber="1" minValue="3.36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269"/>
    <x v="0"/>
  </r>
  <r>
    <x v="1"/>
    <x v="1"/>
    <n v="516"/>
    <x v="1"/>
  </r>
  <r>
    <x v="2"/>
    <x v="2"/>
    <n v="202"/>
    <x v="2"/>
  </r>
  <r>
    <x v="3"/>
    <x v="3"/>
    <n v="1301"/>
    <x v="3"/>
  </r>
  <r>
    <x v="4"/>
    <x v="4"/>
    <n v="631"/>
    <x v="4"/>
  </r>
  <r>
    <x v="5"/>
    <x v="5"/>
    <n v="187"/>
    <x v="5"/>
  </r>
  <r>
    <x v="6"/>
    <x v="6"/>
    <n v="840"/>
    <x v="6"/>
  </r>
  <r>
    <x v="7"/>
    <x v="7"/>
    <n v="369"/>
    <x v="7"/>
  </r>
  <r>
    <x v="8"/>
    <x v="8"/>
    <n v="109"/>
    <x v="8"/>
  </r>
  <r>
    <x v="9"/>
    <x v="9"/>
    <n v="123"/>
    <x v="9"/>
  </r>
  <r>
    <x v="10"/>
    <x v="10"/>
    <n v="708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403"/>
    <x v="0"/>
    <x v="0"/>
  </r>
  <r>
    <x v="1"/>
    <n v="2649"/>
    <x v="1"/>
    <x v="1"/>
  </r>
  <r>
    <x v="2"/>
    <n v="477"/>
    <x v="2"/>
    <x v="2"/>
  </r>
  <r>
    <x v="3"/>
    <n v="2932"/>
    <x v="3"/>
    <x v="3"/>
  </r>
  <r>
    <x v="4"/>
    <n v="13766"/>
    <x v="4"/>
    <x v="4"/>
  </r>
  <r>
    <x v="5"/>
    <n v="5341"/>
    <x v="5"/>
    <x v="5"/>
  </r>
  <r>
    <x v="6"/>
    <n v="6895"/>
    <x v="6"/>
    <x v="6"/>
  </r>
  <r>
    <x v="7"/>
    <n v="6247"/>
    <x v="7"/>
    <x v="7"/>
  </r>
  <r>
    <x v="8"/>
    <n v="579"/>
    <x v="8"/>
    <x v="8"/>
  </r>
  <r>
    <x v="9"/>
    <n v="738"/>
    <x v="9"/>
    <x v="9"/>
  </r>
  <r>
    <x v="10"/>
    <n v="3970"/>
    <x v="10"/>
    <x v="10"/>
  </r>
  <r>
    <x v="11"/>
    <n v="214"/>
    <x v="11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508"/>
    <n v="29.72"/>
    <n v="3.36"/>
  </r>
  <r>
    <x v="1"/>
    <x v="1"/>
    <n v="366"/>
    <n v="27.6"/>
    <n v="3.62"/>
  </r>
  <r>
    <x v="1"/>
    <x v="0"/>
    <n v="223"/>
    <n v="26.46"/>
    <n v="3.78"/>
  </r>
  <r>
    <x v="2"/>
    <x v="1"/>
    <n v="795"/>
    <n v="22.39"/>
    <n v="4.47"/>
  </r>
  <r>
    <x v="0"/>
    <x v="1"/>
    <n v="984"/>
    <n v="21.04"/>
    <n v="4.75"/>
  </r>
  <r>
    <x v="1"/>
    <x v="2"/>
    <n v="289"/>
    <n v="19.38"/>
    <n v="5.16"/>
  </r>
  <r>
    <x v="1"/>
    <x v="3"/>
    <n v="572"/>
    <n v="17.309999999999999"/>
    <n v="5.78"/>
  </r>
  <r>
    <x v="1"/>
    <x v="4"/>
    <n v="149"/>
    <n v="16.11"/>
    <n v="6.21"/>
  </r>
  <r>
    <x v="1"/>
    <x v="5"/>
    <n v="833"/>
    <n v="16.09"/>
    <n v="6.22"/>
  </r>
  <r>
    <x v="0"/>
    <x v="2"/>
    <n v="728"/>
    <n v="14.84"/>
    <n v="6.74"/>
  </r>
  <r>
    <x v="1"/>
    <x v="6"/>
    <n v="7801"/>
    <n v="14.54"/>
    <n v="6.88"/>
  </r>
  <r>
    <x v="1"/>
    <x v="7"/>
    <n v="1968"/>
    <n v="14.53"/>
    <n v="6.88"/>
  </r>
  <r>
    <x v="2"/>
    <x v="2"/>
    <n v="257"/>
    <n v="13.23"/>
    <n v="7.56"/>
  </r>
  <r>
    <x v="1"/>
    <x v="8"/>
    <n v="173"/>
    <n v="12.72"/>
    <n v="7.86"/>
  </r>
  <r>
    <x v="1"/>
    <x v="9"/>
    <n v="202"/>
    <n v="12.38"/>
    <n v="8.08"/>
  </r>
  <r>
    <x v="0"/>
    <x v="3"/>
    <n v="4219"/>
    <n v="11.9"/>
    <n v="8.4"/>
  </r>
  <r>
    <x v="0"/>
    <x v="7"/>
    <n v="5229"/>
    <n v="9.91"/>
    <n v="10.09"/>
  </r>
  <r>
    <x v="0"/>
    <x v="10"/>
    <n v="542"/>
    <n v="9.59"/>
    <n v="10.42"/>
  </r>
  <r>
    <x v="0"/>
    <x v="6"/>
    <n v="1121"/>
    <n v="8.65"/>
    <n v="11.56"/>
  </r>
  <r>
    <x v="0"/>
    <x v="8"/>
    <n v="395"/>
    <n v="8.61"/>
    <n v="11.62"/>
  </r>
  <r>
    <x v="0"/>
    <x v="9"/>
    <n v="3457"/>
    <n v="8.56"/>
    <n v="11.68"/>
  </r>
  <r>
    <x v="2"/>
    <x v="9"/>
    <n v="345"/>
    <n v="8.41"/>
    <n v="11.9"/>
  </r>
  <r>
    <x v="2"/>
    <x v="7"/>
    <n v="158"/>
    <n v="8.23"/>
    <n v="12.15"/>
  </r>
  <r>
    <x v="0"/>
    <x v="4"/>
    <n v="5371"/>
    <n v="8.06"/>
    <n v="12.4"/>
  </r>
  <r>
    <x v="2"/>
    <x v="8"/>
    <n v="627"/>
    <n v="7.81"/>
    <n v="12.8"/>
  </r>
  <r>
    <x v="1"/>
    <x v="10"/>
    <n v="686"/>
    <n v="7.58"/>
    <n v="13.19"/>
  </r>
  <r>
    <x v="2"/>
    <x v="6"/>
    <n v="294"/>
    <n v="7.48"/>
    <n v="13.36"/>
  </r>
  <r>
    <x v="0"/>
    <x v="5"/>
    <n v="577"/>
    <n v="7.45"/>
    <n v="13.42"/>
  </r>
  <r>
    <x v="2"/>
    <x v="10"/>
    <n v="183"/>
    <n v="6.56"/>
    <n v="15.25"/>
  </r>
  <r>
    <x v="2"/>
    <x v="4"/>
    <n v="3758"/>
    <n v="5.8"/>
    <n v="17.239999999999998"/>
  </r>
  <r>
    <x v="2"/>
    <x v="3"/>
    <n v="209"/>
    <n v="5.74"/>
    <n v="17.420000000000002"/>
  </r>
  <r>
    <x v="2"/>
    <x v="5"/>
    <n v="130"/>
    <n v="3.85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C5505-3E92-B146-B1C5-3D95E5B456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M3" firstHeaderRow="1" firstDataRow="2" firstDataCol="1"/>
  <pivotFields count="4">
    <pivotField axis="axisCol" showAll="0" sortType="descending">
      <items count="12">
        <item x="4"/>
        <item x="10"/>
        <item x="9"/>
        <item x="8"/>
        <item x="3"/>
        <item x="1"/>
        <item x="5"/>
        <item x="7"/>
        <item x="0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8"/>
        <item x="2"/>
        <item x="9"/>
        <item x="5"/>
        <item x="1"/>
        <item x="7"/>
        <item x="4"/>
        <item x="6"/>
        <item x="3"/>
        <item x="10"/>
        <item t="default"/>
      </items>
    </pivotField>
    <pivotField showAll="0"/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Items count="1">
    <i/>
  </rowItems>
  <colFields count="1">
    <field x="0"/>
  </colFields>
  <colItems count="12">
    <i>
      <x v="8"/>
    </i>
    <i>
      <x v="5"/>
    </i>
    <i>
      <x v="10"/>
    </i>
    <i>
      <x v="4"/>
    </i>
    <i>
      <x/>
    </i>
    <i>
      <x v="6"/>
    </i>
    <i>
      <x v="9"/>
    </i>
    <i>
      <x v="7"/>
    </i>
    <i>
      <x v="3"/>
    </i>
    <i>
      <x v="2"/>
    </i>
    <i>
      <x v="1"/>
    </i>
    <i t="grand">
      <x/>
    </i>
  </colItems>
  <dataFields count="1">
    <dataField name="Sum of conv_rate" fld="3" baseField="0" baseItem="0"/>
  </dataFields>
  <chartFormats count="12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90D46-7798-4E41-8AC3-7D2A47C6FF3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N6" firstHeaderRow="1" firstDataRow="2" firstDataCol="1"/>
  <pivotFields count="4"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>
      <items count="13">
        <item x="4"/>
        <item x="6"/>
        <item x="0"/>
        <item x="10"/>
        <item x="5"/>
        <item x="7"/>
        <item x="1"/>
        <item x="3"/>
        <item x="9"/>
        <item x="8"/>
        <item x="11"/>
        <item x="2"/>
        <item t="default"/>
      </items>
    </pivotField>
    <pivotField showAll="0">
      <items count="13">
        <item x="11"/>
        <item x="0"/>
        <item x="2"/>
        <item x="8"/>
        <item x="9"/>
        <item x="10"/>
        <item x="1"/>
        <item x="5"/>
        <item x="3"/>
        <item x="6"/>
        <item x="7"/>
        <item x="4"/>
        <item t="default"/>
      </items>
    </pivotField>
  </pivotFields>
  <rowItems count="1">
    <i/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onv_rate" fld="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7A03B-9A5C-3C43-9886-1995A71C50E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M5" firstHeaderRow="1" firstDataRow="2" firstDataCol="1" rowPageCount="1" colPageCount="1"/>
  <pivotFields count="5">
    <pivotField axis="axisPage" multipleItemSelectionAllowed="1" showAll="0">
      <items count="4">
        <item h="1" x="2"/>
        <item h="1" x="0"/>
        <item x="1"/>
        <item t="default"/>
      </items>
    </pivotField>
    <pivotField axis="axisCol" showAll="0" sortType="descending">
      <items count="12">
        <item x="3"/>
        <item x="4"/>
        <item x="10"/>
        <item x="8"/>
        <item x="6"/>
        <item x="1"/>
        <item x="5"/>
        <item x="9"/>
        <item x="0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Items count="1">
    <i/>
  </rowItems>
  <colFields count="1">
    <field x="1"/>
  </colFields>
  <colItems count="12">
    <i>
      <x v="5"/>
    </i>
    <i>
      <x v="8"/>
    </i>
    <i>
      <x v="10"/>
    </i>
    <i>
      <x/>
    </i>
    <i>
      <x v="1"/>
    </i>
    <i>
      <x v="6"/>
    </i>
    <i>
      <x v="4"/>
    </i>
    <i>
      <x v="9"/>
    </i>
    <i>
      <x v="3"/>
    </i>
    <i>
      <x v="7"/>
    </i>
    <i>
      <x v="2"/>
    </i>
    <i t="grand">
      <x/>
    </i>
  </colItems>
  <pageFields count="1">
    <pageField fld="0" hier="-1"/>
  </pageFields>
  <dataFields count="1">
    <dataField name="Sum of conv_rate" fld="3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7FFF-CADB-EF45-A878-FCEEF39F488A}">
  <dimension ref="A1:E10"/>
  <sheetViews>
    <sheetView tabSelected="1" zoomScale="125" workbookViewId="0">
      <selection activeCell="C16" sqref="C16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3" width="52" customWidth="1"/>
    <col min="4" max="4" width="30" customWidth="1"/>
    <col min="5" max="5" width="52" customWidth="1"/>
  </cols>
  <sheetData>
    <row r="1" spans="1:5" ht="19" x14ac:dyDescent="0.2">
      <c r="A1" s="18" t="s">
        <v>94</v>
      </c>
      <c r="B1" s="19"/>
      <c r="C1" s="19"/>
      <c r="D1" s="19"/>
      <c r="E1" s="19"/>
    </row>
    <row r="2" spans="1:5" ht="22" customHeight="1" x14ac:dyDescent="0.2">
      <c r="A2" s="20" t="s">
        <v>95</v>
      </c>
      <c r="B2" s="19"/>
      <c r="C2" s="19"/>
      <c r="D2" s="19"/>
      <c r="E2" s="19"/>
    </row>
    <row r="3" spans="1:5" x14ac:dyDescent="0.2">
      <c r="A3" s="21" t="s">
        <v>80</v>
      </c>
      <c r="B3" s="21" t="s">
        <v>81</v>
      </c>
      <c r="C3" s="21" t="s">
        <v>75</v>
      </c>
      <c r="D3" s="21" t="s">
        <v>82</v>
      </c>
      <c r="E3" s="21" t="s">
        <v>83</v>
      </c>
    </row>
    <row r="4" spans="1:5" ht="42" x14ac:dyDescent="0.2">
      <c r="A4" s="22">
        <v>1</v>
      </c>
      <c r="B4" s="23" t="s">
        <v>84</v>
      </c>
      <c r="C4" s="24" t="s">
        <v>96</v>
      </c>
      <c r="D4" s="25" t="s">
        <v>97</v>
      </c>
      <c r="E4" s="26" t="s">
        <v>98</v>
      </c>
    </row>
    <row r="5" spans="1:5" ht="42" x14ac:dyDescent="0.2">
      <c r="A5" s="27">
        <v>2</v>
      </c>
      <c r="B5" s="28" t="s">
        <v>85</v>
      </c>
      <c r="C5" s="29" t="s">
        <v>99</v>
      </c>
      <c r="D5" s="30" t="s">
        <v>100</v>
      </c>
      <c r="E5" s="31" t="s">
        <v>101</v>
      </c>
    </row>
    <row r="6" spans="1:5" ht="42" x14ac:dyDescent="0.2">
      <c r="A6" s="32">
        <v>3</v>
      </c>
      <c r="B6" s="33" t="s">
        <v>86</v>
      </c>
      <c r="C6" s="34" t="s">
        <v>102</v>
      </c>
      <c r="D6" s="35" t="s">
        <v>103</v>
      </c>
      <c r="E6" s="36" t="s">
        <v>87</v>
      </c>
    </row>
    <row r="7" spans="1:5" ht="42" x14ac:dyDescent="0.2">
      <c r="A7" s="27">
        <v>4</v>
      </c>
      <c r="B7" s="28" t="s">
        <v>88</v>
      </c>
      <c r="C7" s="29" t="s">
        <v>104</v>
      </c>
      <c r="D7" s="30" t="s">
        <v>89</v>
      </c>
      <c r="E7" s="31" t="s">
        <v>90</v>
      </c>
    </row>
    <row r="8" spans="1:5" ht="38" customHeight="1" x14ac:dyDescent="0.2">
      <c r="A8" s="32">
        <v>5</v>
      </c>
      <c r="B8" s="33" t="s">
        <v>91</v>
      </c>
      <c r="C8" s="34" t="s">
        <v>106</v>
      </c>
      <c r="D8" s="35" t="s">
        <v>105</v>
      </c>
      <c r="E8" s="36" t="s">
        <v>92</v>
      </c>
    </row>
    <row r="10" spans="1:5" ht="18" customHeight="1" x14ac:dyDescent="0.2">
      <c r="A10" s="37" t="s">
        <v>93</v>
      </c>
      <c r="B10" s="19"/>
      <c r="C10" s="19"/>
      <c r="D10" s="19"/>
      <c r="E10" s="19"/>
    </row>
  </sheetData>
  <mergeCells count="3">
    <mergeCell ref="A1:E1"/>
    <mergeCell ref="A2:E2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1.6640625" bestFit="1" customWidth="1"/>
    <col min="2" max="2" width="6.1640625" bestFit="1" customWidth="1"/>
    <col min="3" max="3" width="11.33203125" bestFit="1" customWidth="1"/>
    <col min="4" max="4" width="19.5" bestFit="1" customWidth="1"/>
  </cols>
  <sheetData>
    <row r="1" spans="1:4" ht="20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6" x14ac:dyDescent="0.2">
      <c r="A2" s="16">
        <v>5289</v>
      </c>
      <c r="B2" s="16">
        <v>45211</v>
      </c>
      <c r="C2" s="17">
        <v>11.7</v>
      </c>
      <c r="D2" s="16">
        <v>8.5500000000000007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="120" zoomScaleNormal="120" workbookViewId="0"/>
  </sheetViews>
  <sheetFormatPr baseColWidth="10" defaultColWidth="8.83203125" defaultRowHeight="15" x14ac:dyDescent="0.2"/>
  <cols>
    <col min="1" max="1" width="12.83203125" bestFit="1" customWidth="1"/>
    <col min="2" max="2" width="13.33203125" bestFit="1" customWidth="1"/>
    <col min="3" max="3" width="12" bestFit="1" customWidth="1"/>
    <col min="4" max="4" width="28.6640625" bestFit="1" customWidth="1"/>
    <col min="5" max="5" width="12.33203125" bestFit="1" customWidth="1"/>
  </cols>
  <sheetData>
    <row r="1" spans="1:5" ht="20" x14ac:dyDescent="0.2">
      <c r="A1" s="2" t="s">
        <v>4</v>
      </c>
      <c r="B1" s="2" t="s">
        <v>50</v>
      </c>
      <c r="C1" s="2" t="s">
        <v>52</v>
      </c>
      <c r="D1" s="2" t="s">
        <v>51</v>
      </c>
      <c r="E1" s="2" t="s">
        <v>49</v>
      </c>
    </row>
    <row r="2" spans="1:5" ht="16" x14ac:dyDescent="0.2">
      <c r="A2" s="3" t="s">
        <v>5</v>
      </c>
      <c r="B2" s="3">
        <v>938</v>
      </c>
      <c r="C2" s="3">
        <v>269</v>
      </c>
      <c r="D2" s="3">
        <v>28.68</v>
      </c>
      <c r="E2" s="14">
        <f>D2-11.7</f>
        <v>16.98</v>
      </c>
    </row>
    <row r="3" spans="1:5" ht="16" x14ac:dyDescent="0.2">
      <c r="A3" s="3" t="s">
        <v>6</v>
      </c>
      <c r="B3" s="3">
        <v>2264</v>
      </c>
      <c r="C3" s="3">
        <v>516</v>
      </c>
      <c r="D3" s="3">
        <v>22.79</v>
      </c>
      <c r="E3" s="14">
        <f t="shared" ref="E3:E12" si="0">D3-11.7</f>
        <v>11.09</v>
      </c>
    </row>
    <row r="4" spans="1:5" ht="16" x14ac:dyDescent="0.2">
      <c r="A4" s="3" t="s">
        <v>7</v>
      </c>
      <c r="B4" s="3">
        <v>1303</v>
      </c>
      <c r="C4" s="3">
        <v>202</v>
      </c>
      <c r="D4" s="3">
        <v>15.5</v>
      </c>
      <c r="E4" s="14">
        <f t="shared" si="0"/>
        <v>3.8000000000000007</v>
      </c>
    </row>
    <row r="5" spans="1:5" ht="16" x14ac:dyDescent="0.2">
      <c r="A5" s="3" t="s">
        <v>8</v>
      </c>
      <c r="B5" s="3">
        <v>9458</v>
      </c>
      <c r="C5" s="3">
        <v>1301</v>
      </c>
      <c r="D5" s="3">
        <v>13.76</v>
      </c>
      <c r="E5" s="14">
        <f t="shared" si="0"/>
        <v>2.0600000000000005</v>
      </c>
    </row>
    <row r="6" spans="1:5" ht="16" x14ac:dyDescent="0.2">
      <c r="A6" s="3" t="s">
        <v>9</v>
      </c>
      <c r="B6" s="3">
        <v>5171</v>
      </c>
      <c r="C6" s="3">
        <v>631</v>
      </c>
      <c r="D6" s="3">
        <v>12.2</v>
      </c>
      <c r="E6" s="14">
        <f t="shared" si="0"/>
        <v>0.5</v>
      </c>
    </row>
    <row r="7" spans="1:5" ht="16" x14ac:dyDescent="0.2">
      <c r="A7" s="3" t="s">
        <v>10</v>
      </c>
      <c r="B7" s="3">
        <v>1579</v>
      </c>
      <c r="C7" s="3">
        <v>187</v>
      </c>
      <c r="D7" s="3">
        <v>11.84</v>
      </c>
      <c r="E7" s="14">
        <f t="shared" si="0"/>
        <v>0.14000000000000057</v>
      </c>
    </row>
    <row r="8" spans="1:5" ht="16" x14ac:dyDescent="0.2">
      <c r="A8" s="4" t="s">
        <v>11</v>
      </c>
      <c r="B8" s="4">
        <v>7597</v>
      </c>
      <c r="C8" s="4">
        <v>840</v>
      </c>
      <c r="D8" s="4">
        <v>11.06</v>
      </c>
      <c r="E8" s="15">
        <f t="shared" si="0"/>
        <v>-0.63999999999999879</v>
      </c>
    </row>
    <row r="9" spans="1:5" ht="16" x14ac:dyDescent="0.2">
      <c r="A9" s="4" t="s">
        <v>12</v>
      </c>
      <c r="B9" s="4">
        <v>4154</v>
      </c>
      <c r="C9" s="4">
        <v>369</v>
      </c>
      <c r="D9" s="4">
        <v>8.8800000000000008</v>
      </c>
      <c r="E9" s="15">
        <f t="shared" si="0"/>
        <v>-2.8199999999999985</v>
      </c>
    </row>
    <row r="10" spans="1:5" ht="16" x14ac:dyDescent="0.2">
      <c r="A10" s="4" t="s">
        <v>13</v>
      </c>
      <c r="B10" s="4">
        <v>1240</v>
      </c>
      <c r="C10" s="4">
        <v>109</v>
      </c>
      <c r="D10" s="4">
        <v>8.7899999999999991</v>
      </c>
      <c r="E10" s="15">
        <f t="shared" si="0"/>
        <v>-2.91</v>
      </c>
    </row>
    <row r="11" spans="1:5" ht="16" x14ac:dyDescent="0.2">
      <c r="A11" s="4" t="s">
        <v>14</v>
      </c>
      <c r="B11" s="4">
        <v>1487</v>
      </c>
      <c r="C11" s="4">
        <v>123</v>
      </c>
      <c r="D11" s="4">
        <v>8.27</v>
      </c>
      <c r="E11" s="15">
        <f t="shared" si="0"/>
        <v>-3.4299999999999997</v>
      </c>
    </row>
    <row r="12" spans="1:5" ht="16" x14ac:dyDescent="0.2">
      <c r="A12" s="4" t="s">
        <v>15</v>
      </c>
      <c r="B12" s="4">
        <v>9732</v>
      </c>
      <c r="C12" s="4">
        <v>708</v>
      </c>
      <c r="D12" s="4">
        <v>7.27</v>
      </c>
      <c r="E12" s="15">
        <f t="shared" si="0"/>
        <v>-4.43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3AFE-F05C-A34D-9254-775459B1219B}">
  <dimension ref="A1:M3"/>
  <sheetViews>
    <sheetView zoomScale="93" workbookViewId="0">
      <selection activeCell="Q20" sqref="Q20"/>
    </sheetView>
  </sheetViews>
  <sheetFormatPr baseColWidth="10" defaultRowHeight="15" x14ac:dyDescent="0.2"/>
  <cols>
    <col min="1" max="1" width="14.33203125" bestFit="1" customWidth="1"/>
    <col min="2" max="2" width="14.83203125" bestFit="1" customWidth="1"/>
    <col min="3" max="3" width="6.6640625" bestFit="1" customWidth="1"/>
    <col min="4" max="4" width="11" bestFit="1" customWidth="1"/>
    <col min="5" max="5" width="11.33203125" bestFit="1" customWidth="1"/>
    <col min="6" max="6" width="6.5" bestFit="1" customWidth="1"/>
    <col min="7" max="7" width="12.1640625" bestFit="1" customWidth="1"/>
    <col min="8" max="8" width="9.33203125" bestFit="1" customWidth="1"/>
    <col min="9" max="9" width="7.33203125" bestFit="1" customWidth="1"/>
    <col min="10" max="10" width="9.6640625" bestFit="1" customWidth="1"/>
    <col min="11" max="11" width="11.83203125" bestFit="1" customWidth="1"/>
    <col min="12" max="12" width="9.5" bestFit="1" customWidth="1"/>
    <col min="13" max="13" width="10" bestFit="1" customWidth="1"/>
  </cols>
  <sheetData>
    <row r="1" spans="1:13" x14ac:dyDescent="0.2">
      <c r="B1" s="1" t="s">
        <v>46</v>
      </c>
    </row>
    <row r="2" spans="1:13" x14ac:dyDescent="0.2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47</v>
      </c>
    </row>
    <row r="3" spans="1:13" x14ac:dyDescent="0.2">
      <c r="A3" t="s">
        <v>48</v>
      </c>
      <c r="B3">
        <v>28.68</v>
      </c>
      <c r="C3">
        <v>22.79</v>
      </c>
      <c r="D3">
        <v>15.5</v>
      </c>
      <c r="E3">
        <v>13.76</v>
      </c>
      <c r="F3">
        <v>12.2</v>
      </c>
      <c r="G3">
        <v>11.84</v>
      </c>
      <c r="H3">
        <v>11.06</v>
      </c>
      <c r="I3">
        <v>8.8800000000000008</v>
      </c>
      <c r="J3">
        <v>8.7899999999999991</v>
      </c>
      <c r="K3">
        <v>8.27</v>
      </c>
      <c r="L3">
        <v>7.27</v>
      </c>
      <c r="M3">
        <v>149.04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G2" sqref="G2:G4"/>
    </sheetView>
  </sheetViews>
  <sheetFormatPr baseColWidth="10" defaultColWidth="8.83203125" defaultRowHeight="15" x14ac:dyDescent="0.2"/>
  <cols>
    <col min="1" max="1" width="11.5" bestFit="1" customWidth="1"/>
    <col min="2" max="2" width="13.33203125" bestFit="1" customWidth="1"/>
    <col min="3" max="3" width="12" bestFit="1" customWidth="1"/>
    <col min="4" max="4" width="16.5" bestFit="1" customWidth="1"/>
    <col min="5" max="5" width="21.5" bestFit="1" customWidth="1"/>
    <col min="6" max="6" width="18.1640625" bestFit="1" customWidth="1"/>
    <col min="7" max="7" width="12.33203125" bestFit="1" customWidth="1"/>
  </cols>
  <sheetData>
    <row r="1" spans="1:7" ht="20" x14ac:dyDescent="0.2">
      <c r="A1" s="2" t="s">
        <v>54</v>
      </c>
      <c r="B1" s="2" t="s">
        <v>50</v>
      </c>
      <c r="C1" s="2" t="s">
        <v>52</v>
      </c>
      <c r="D1" s="2" t="s">
        <v>17</v>
      </c>
      <c r="E1" s="2" t="s">
        <v>18</v>
      </c>
      <c r="F1" s="2" t="s">
        <v>53</v>
      </c>
      <c r="G1" s="2" t="s">
        <v>49</v>
      </c>
    </row>
    <row r="2" spans="1:7" ht="16" x14ac:dyDescent="0.2">
      <c r="A2" s="3" t="s">
        <v>19</v>
      </c>
      <c r="B2" s="3">
        <v>13301</v>
      </c>
      <c r="C2" s="3">
        <v>1996</v>
      </c>
      <c r="D2" s="3">
        <v>30.68</v>
      </c>
      <c r="E2" s="3">
        <v>39.630000000000003</v>
      </c>
      <c r="F2" s="3">
        <v>15.01</v>
      </c>
      <c r="G2" s="14">
        <f>F2-11.7</f>
        <v>3.3100000000000005</v>
      </c>
    </row>
    <row r="3" spans="1:7" ht="16" x14ac:dyDescent="0.2">
      <c r="A3" s="4" t="s">
        <v>20</v>
      </c>
      <c r="B3" s="4">
        <v>23202</v>
      </c>
      <c r="C3" s="4">
        <v>2450</v>
      </c>
      <c r="D3" s="4">
        <v>53.52</v>
      </c>
      <c r="E3" s="4">
        <v>48.64</v>
      </c>
      <c r="F3" s="4">
        <v>10.56</v>
      </c>
      <c r="G3" s="15">
        <f t="shared" ref="G3:G4" si="0">F3-11.7</f>
        <v>-1.1399999999999988</v>
      </c>
    </row>
    <row r="4" spans="1:7" ht="16" x14ac:dyDescent="0.2">
      <c r="A4" s="4" t="s">
        <v>21</v>
      </c>
      <c r="B4" s="4">
        <v>6851</v>
      </c>
      <c r="C4" s="4">
        <v>591</v>
      </c>
      <c r="D4" s="4">
        <v>15.8</v>
      </c>
      <c r="E4" s="4">
        <v>11.73</v>
      </c>
      <c r="F4" s="4">
        <v>8.6300000000000008</v>
      </c>
      <c r="G4" s="15">
        <f t="shared" si="0"/>
        <v>-3.0699999999999985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6017-AEBE-A94E-8289-C0402152FD6B}">
  <dimension ref="A4:N6"/>
  <sheetViews>
    <sheetView workbookViewId="0">
      <selection activeCell="P36" sqref="P36"/>
    </sheetView>
  </sheetViews>
  <sheetFormatPr baseColWidth="10" defaultRowHeight="15" x14ac:dyDescent="0.2"/>
  <cols>
    <col min="1" max="1" width="14.33203125" bestFit="1" customWidth="1"/>
    <col min="2" max="2" width="14.83203125" bestFit="1" customWidth="1"/>
    <col min="3" max="5" width="6.1640625" bestFit="1" customWidth="1"/>
    <col min="6" max="6" width="5.1640625" bestFit="1" customWidth="1"/>
    <col min="7" max="7" width="6.1640625" bestFit="1" customWidth="1"/>
    <col min="8" max="8" width="5.1640625" bestFit="1" customWidth="1"/>
    <col min="9" max="13" width="6.1640625" bestFit="1" customWidth="1"/>
    <col min="14" max="14" width="10" bestFit="1" customWidth="1"/>
    <col min="15" max="24" width="17.83203125" bestFit="1" customWidth="1"/>
    <col min="25" max="25" width="18.6640625" bestFit="1" customWidth="1"/>
    <col min="26" max="26" width="22.1640625" bestFit="1" customWidth="1"/>
  </cols>
  <sheetData>
    <row r="4" spans="1:14" x14ac:dyDescent="0.2">
      <c r="B4" s="1" t="s">
        <v>46</v>
      </c>
    </row>
    <row r="5" spans="1:14" x14ac:dyDescent="0.2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47</v>
      </c>
    </row>
    <row r="6" spans="1:14" x14ac:dyDescent="0.2">
      <c r="A6" t="s">
        <v>48</v>
      </c>
      <c r="B6">
        <v>10.119999999999999</v>
      </c>
      <c r="C6">
        <v>16.649999999999999</v>
      </c>
      <c r="D6">
        <v>51.99</v>
      </c>
      <c r="E6">
        <v>19.68</v>
      </c>
      <c r="F6">
        <v>6.72</v>
      </c>
      <c r="G6">
        <v>10.220000000000001</v>
      </c>
      <c r="H6">
        <v>9.09</v>
      </c>
      <c r="I6">
        <v>11.01</v>
      </c>
      <c r="J6">
        <v>46.46</v>
      </c>
      <c r="K6">
        <v>43.77</v>
      </c>
      <c r="L6">
        <v>10.15</v>
      </c>
      <c r="M6">
        <v>46.73</v>
      </c>
      <c r="N6">
        <v>282.59000000000003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8" bestFit="1" customWidth="1"/>
    <col min="2" max="2" width="6.1640625" bestFit="1" customWidth="1"/>
    <col min="3" max="3" width="11.33203125" bestFit="1" customWidth="1"/>
    <col min="4" max="4" width="15.6640625" bestFit="1" customWidth="1"/>
    <col min="5" max="5" width="12.33203125" bestFit="1" customWidth="1"/>
    <col min="6" max="6" width="39.1640625" customWidth="1"/>
  </cols>
  <sheetData>
    <row r="1" spans="1:6" ht="20" x14ac:dyDescent="0.2">
      <c r="A1" s="2" t="s">
        <v>22</v>
      </c>
      <c r="B1" s="2" t="s">
        <v>1</v>
      </c>
      <c r="C1" s="2" t="s">
        <v>2</v>
      </c>
      <c r="D1" s="2" t="s">
        <v>23</v>
      </c>
      <c r="E1" s="2" t="s">
        <v>49</v>
      </c>
      <c r="F1" s="5" t="s">
        <v>67</v>
      </c>
    </row>
    <row r="2" spans="1:6" ht="16" x14ac:dyDescent="0.2">
      <c r="A2" s="3" t="s">
        <v>57</v>
      </c>
      <c r="B2" s="3">
        <v>477</v>
      </c>
      <c r="C2" s="3">
        <v>51.99</v>
      </c>
      <c r="D2" s="3">
        <v>4.6900000000000004</v>
      </c>
      <c r="E2" s="14">
        <f>C2-11.7</f>
        <v>40.290000000000006</v>
      </c>
      <c r="F2" s="6" t="s">
        <v>70</v>
      </c>
    </row>
    <row r="3" spans="1:6" ht="16" x14ac:dyDescent="0.2">
      <c r="A3" s="3" t="s">
        <v>66</v>
      </c>
      <c r="B3" s="3">
        <v>214</v>
      </c>
      <c r="C3" s="3">
        <v>46.73</v>
      </c>
      <c r="D3" s="3">
        <v>1.89</v>
      </c>
      <c r="E3" s="14">
        <f t="shared" ref="E3:E13" si="0">C3-11.7</f>
        <v>35.03</v>
      </c>
      <c r="F3" s="6" t="s">
        <v>70</v>
      </c>
    </row>
    <row r="4" spans="1:6" ht="16" x14ac:dyDescent="0.2">
      <c r="A4" s="3" t="s">
        <v>63</v>
      </c>
      <c r="B4" s="3">
        <v>579</v>
      </c>
      <c r="C4" s="3">
        <v>46.46</v>
      </c>
      <c r="D4" s="3">
        <v>5.09</v>
      </c>
      <c r="E4" s="14">
        <f t="shared" si="0"/>
        <v>34.760000000000005</v>
      </c>
      <c r="F4" s="6" t="s">
        <v>70</v>
      </c>
    </row>
    <row r="5" spans="1:6" ht="16" x14ac:dyDescent="0.2">
      <c r="A5" s="3" t="s">
        <v>64</v>
      </c>
      <c r="B5" s="3">
        <v>738</v>
      </c>
      <c r="C5" s="3">
        <v>43.77</v>
      </c>
      <c r="D5" s="3">
        <v>6.11</v>
      </c>
      <c r="E5" s="14">
        <f t="shared" si="0"/>
        <v>32.070000000000007</v>
      </c>
      <c r="F5" s="6" t="s">
        <v>70</v>
      </c>
    </row>
    <row r="6" spans="1:6" ht="16" x14ac:dyDescent="0.2">
      <c r="A6" s="3" t="s">
        <v>58</v>
      </c>
      <c r="B6" s="3">
        <v>2932</v>
      </c>
      <c r="C6" s="3">
        <v>19.68</v>
      </c>
      <c r="D6" s="3">
        <v>10.91</v>
      </c>
      <c r="E6" s="14">
        <f t="shared" si="0"/>
        <v>7.98</v>
      </c>
      <c r="F6" s="6" t="s">
        <v>69</v>
      </c>
    </row>
    <row r="7" spans="1:6" ht="16" x14ac:dyDescent="0.2">
      <c r="A7" s="3" t="s">
        <v>56</v>
      </c>
      <c r="B7" s="3">
        <v>2649</v>
      </c>
      <c r="C7" s="3">
        <v>16.649999999999999</v>
      </c>
      <c r="D7" s="3">
        <v>8.34</v>
      </c>
      <c r="E7" s="14">
        <f t="shared" si="0"/>
        <v>4.9499999999999993</v>
      </c>
      <c r="F7" s="6" t="s">
        <v>69</v>
      </c>
    </row>
    <row r="8" spans="1:6" ht="16" x14ac:dyDescent="0.2">
      <c r="A8" s="4" t="s">
        <v>62</v>
      </c>
      <c r="B8" s="4">
        <v>6247</v>
      </c>
      <c r="C8" s="4">
        <v>11.01</v>
      </c>
      <c r="D8" s="4">
        <v>13.01</v>
      </c>
      <c r="E8" s="15">
        <f t="shared" si="0"/>
        <v>-0.6899999999999995</v>
      </c>
      <c r="F8" s="7" t="s">
        <v>69</v>
      </c>
    </row>
    <row r="9" spans="1:6" ht="16" x14ac:dyDescent="0.2">
      <c r="A9" s="4" t="s">
        <v>60</v>
      </c>
      <c r="B9" s="4">
        <v>5341</v>
      </c>
      <c r="C9" s="4">
        <v>10.220000000000001</v>
      </c>
      <c r="D9" s="4">
        <v>10.32</v>
      </c>
      <c r="E9" s="15">
        <f t="shared" si="0"/>
        <v>-1.4799999999999986</v>
      </c>
      <c r="F9" s="7" t="s">
        <v>68</v>
      </c>
    </row>
    <row r="10" spans="1:6" ht="16" x14ac:dyDescent="0.2">
      <c r="A10" s="4" t="s">
        <v>65</v>
      </c>
      <c r="B10" s="4">
        <v>3970</v>
      </c>
      <c r="C10" s="4">
        <v>10.15</v>
      </c>
      <c r="D10" s="4">
        <v>7.62</v>
      </c>
      <c r="E10" s="15">
        <f t="shared" si="0"/>
        <v>-1.5499999999999989</v>
      </c>
      <c r="F10" s="7" t="s">
        <v>69</v>
      </c>
    </row>
    <row r="11" spans="1:6" ht="16" x14ac:dyDescent="0.2">
      <c r="A11" s="4" t="s">
        <v>55</v>
      </c>
      <c r="B11" s="4">
        <v>1403</v>
      </c>
      <c r="C11" s="4">
        <v>10.119999999999999</v>
      </c>
      <c r="D11" s="4">
        <v>2.68</v>
      </c>
      <c r="E11" s="15">
        <f t="shared" si="0"/>
        <v>-1.58</v>
      </c>
      <c r="F11" s="7" t="s">
        <v>69</v>
      </c>
    </row>
    <row r="12" spans="1:6" ht="16" x14ac:dyDescent="0.2">
      <c r="A12" s="4" t="s">
        <v>61</v>
      </c>
      <c r="B12" s="4">
        <v>6895</v>
      </c>
      <c r="C12" s="4">
        <v>9.09</v>
      </c>
      <c r="D12" s="4">
        <v>11.85</v>
      </c>
      <c r="E12" s="15">
        <f t="shared" si="0"/>
        <v>-2.6099999999999994</v>
      </c>
      <c r="F12" s="7" t="s">
        <v>68</v>
      </c>
    </row>
    <row r="13" spans="1:6" ht="16" x14ac:dyDescent="0.2">
      <c r="A13" s="4" t="s">
        <v>59</v>
      </c>
      <c r="B13" s="4">
        <v>13766</v>
      </c>
      <c r="C13" s="4">
        <v>6.72</v>
      </c>
      <c r="D13" s="4">
        <v>17.489999999999998</v>
      </c>
      <c r="E13" s="15">
        <f t="shared" si="0"/>
        <v>-4.9799999999999995</v>
      </c>
      <c r="F13" s="7" t="s">
        <v>68</v>
      </c>
    </row>
  </sheetData>
  <sortState xmlns:xlrd2="http://schemas.microsoft.com/office/spreadsheetml/2017/richdata2" ref="A2:D13">
    <sortCondition descending="1" ref="C2:C13"/>
  </sortState>
  <phoneticPr fontId="8" type="noConversion"/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11" bestFit="1" customWidth="1"/>
    <col min="2" max="2" width="11.33203125" bestFit="1" customWidth="1"/>
    <col min="3" max="3" width="20.83203125" bestFit="1" customWidth="1"/>
    <col min="4" max="4" width="12.83203125" bestFit="1" customWidth="1"/>
    <col min="5" max="5" width="12.33203125" bestFit="1" customWidth="1"/>
    <col min="6" max="6" width="16.83203125" bestFit="1" customWidth="1"/>
  </cols>
  <sheetData>
    <row r="1" spans="1:6" ht="20" x14ac:dyDescent="0.2">
      <c r="A1" s="2" t="s">
        <v>36</v>
      </c>
      <c r="B1" s="2" t="s">
        <v>2</v>
      </c>
      <c r="C1" s="2" t="s">
        <v>37</v>
      </c>
      <c r="D1" s="2" t="s">
        <v>38</v>
      </c>
      <c r="E1" s="2" t="s">
        <v>49</v>
      </c>
      <c r="F1" s="2" t="s">
        <v>71</v>
      </c>
    </row>
    <row r="2" spans="1:6" ht="16" x14ac:dyDescent="0.2">
      <c r="A2" s="3">
        <v>1</v>
      </c>
      <c r="B2" s="3">
        <v>14.6</v>
      </c>
      <c r="C2" s="3">
        <v>0</v>
      </c>
      <c r="D2" s="3">
        <v>0</v>
      </c>
      <c r="E2" s="14">
        <f>B2-11.7</f>
        <v>2.9000000000000004</v>
      </c>
      <c r="F2" s="9" t="s">
        <v>72</v>
      </c>
    </row>
    <row r="3" spans="1:6" ht="16" x14ac:dyDescent="0.2">
      <c r="A3" s="8">
        <v>2</v>
      </c>
      <c r="B3" s="8">
        <v>11.2</v>
      </c>
      <c r="C3" s="8">
        <v>-3.4</v>
      </c>
      <c r="D3" s="8">
        <v>-23.29</v>
      </c>
      <c r="E3" s="15">
        <f t="shared" ref="E3:E14" si="0">B3-11.7</f>
        <v>-0.5</v>
      </c>
      <c r="F3" s="9" t="s">
        <v>72</v>
      </c>
    </row>
    <row r="4" spans="1:6" ht="16" x14ac:dyDescent="0.2">
      <c r="A4" s="8">
        <v>3</v>
      </c>
      <c r="B4" s="8">
        <v>11.19</v>
      </c>
      <c r="C4" s="8">
        <v>-3.41</v>
      </c>
      <c r="D4" s="8">
        <v>-23.36</v>
      </c>
      <c r="E4" s="15">
        <f t="shared" si="0"/>
        <v>-0.50999999999999979</v>
      </c>
      <c r="F4" s="9" t="s">
        <v>72</v>
      </c>
    </row>
    <row r="5" spans="1:6" ht="16" x14ac:dyDescent="0.2">
      <c r="A5" s="4">
        <v>4</v>
      </c>
      <c r="B5" s="4">
        <v>9</v>
      </c>
      <c r="C5" s="4">
        <v>-5.6</v>
      </c>
      <c r="D5" s="4">
        <v>-38.36</v>
      </c>
      <c r="E5" s="15">
        <f t="shared" si="0"/>
        <v>-2.6999999999999993</v>
      </c>
      <c r="F5" s="10" t="s">
        <v>73</v>
      </c>
    </row>
    <row r="6" spans="1:6" ht="16" x14ac:dyDescent="0.2">
      <c r="A6" s="4">
        <v>11</v>
      </c>
      <c r="B6" s="4">
        <v>7.96</v>
      </c>
      <c r="C6" s="4">
        <v>-6.64</v>
      </c>
      <c r="D6" s="4">
        <v>-45.48</v>
      </c>
      <c r="E6" s="15">
        <f t="shared" si="0"/>
        <v>-3.7399999999999993</v>
      </c>
      <c r="F6" s="10" t="s">
        <v>73</v>
      </c>
    </row>
    <row r="7" spans="1:6" ht="16" x14ac:dyDescent="0.2">
      <c r="A7" s="4">
        <v>5</v>
      </c>
      <c r="B7" s="4">
        <v>7.88</v>
      </c>
      <c r="C7" s="4">
        <v>-6.72</v>
      </c>
      <c r="D7" s="4">
        <v>-46.03</v>
      </c>
      <c r="E7" s="15">
        <f t="shared" si="0"/>
        <v>-3.8199999999999994</v>
      </c>
      <c r="F7" s="10" t="s">
        <v>73</v>
      </c>
    </row>
    <row r="8" spans="1:6" ht="16" x14ac:dyDescent="0.2">
      <c r="A8" s="4">
        <v>6</v>
      </c>
      <c r="B8" s="4">
        <v>7.13</v>
      </c>
      <c r="C8" s="4">
        <v>-7.47</v>
      </c>
      <c r="D8" s="4">
        <v>-51.16</v>
      </c>
      <c r="E8" s="15">
        <f t="shared" si="0"/>
        <v>-4.5699999999999994</v>
      </c>
      <c r="F8" s="11" t="s">
        <v>74</v>
      </c>
    </row>
    <row r="9" spans="1:6" ht="16" x14ac:dyDescent="0.2">
      <c r="A9" s="4">
        <v>9</v>
      </c>
      <c r="B9" s="4">
        <v>6.42</v>
      </c>
      <c r="C9" s="4">
        <v>-8.18</v>
      </c>
      <c r="D9" s="4">
        <v>-56.03</v>
      </c>
      <c r="E9" s="15">
        <f t="shared" si="0"/>
        <v>-5.2799999999999994</v>
      </c>
      <c r="F9" s="11" t="s">
        <v>74</v>
      </c>
    </row>
    <row r="10" spans="1:6" ht="16" x14ac:dyDescent="0.2">
      <c r="A10" s="4">
        <v>7</v>
      </c>
      <c r="B10" s="4">
        <v>6.39</v>
      </c>
      <c r="C10" s="4">
        <v>-8.2100000000000009</v>
      </c>
      <c r="D10" s="4">
        <v>-56.23</v>
      </c>
      <c r="E10" s="15">
        <f t="shared" si="0"/>
        <v>-5.31</v>
      </c>
      <c r="F10" s="11" t="s">
        <v>74</v>
      </c>
    </row>
    <row r="11" spans="1:6" ht="16" x14ac:dyDescent="0.2">
      <c r="A11" s="4">
        <v>8</v>
      </c>
      <c r="B11" s="4">
        <v>5.93</v>
      </c>
      <c r="C11" s="4">
        <v>-8.67</v>
      </c>
      <c r="D11" s="4">
        <v>-59.38</v>
      </c>
      <c r="E11" s="15">
        <f t="shared" si="0"/>
        <v>-5.77</v>
      </c>
      <c r="F11" s="11" t="s">
        <v>74</v>
      </c>
    </row>
    <row r="12" spans="1:6" ht="16" x14ac:dyDescent="0.2">
      <c r="A12" s="4">
        <v>10</v>
      </c>
      <c r="B12" s="4">
        <v>5.26</v>
      </c>
      <c r="C12" s="4">
        <v>-9.34</v>
      </c>
      <c r="D12" s="4">
        <v>-63.97</v>
      </c>
      <c r="E12" s="15">
        <f t="shared" si="0"/>
        <v>-6.4399999999999995</v>
      </c>
      <c r="F12" s="11" t="s">
        <v>74</v>
      </c>
    </row>
    <row r="13" spans="1:6" ht="16" x14ac:dyDescent="0.2">
      <c r="A13" s="4">
        <v>13</v>
      </c>
      <c r="B13" s="4">
        <v>4.51</v>
      </c>
      <c r="C13" s="4">
        <v>-10.09</v>
      </c>
      <c r="D13" s="4">
        <v>-69.11</v>
      </c>
      <c r="E13" s="15">
        <f t="shared" si="0"/>
        <v>-7.1899999999999995</v>
      </c>
      <c r="F13" s="11" t="s">
        <v>74</v>
      </c>
    </row>
    <row r="14" spans="1:6" ht="16" x14ac:dyDescent="0.2">
      <c r="A14" s="4">
        <v>12</v>
      </c>
      <c r="B14" s="4">
        <v>2.58</v>
      </c>
      <c r="C14" s="4">
        <v>-12.02</v>
      </c>
      <c r="D14" s="4">
        <v>-82.33</v>
      </c>
      <c r="E14" s="15">
        <f t="shared" si="0"/>
        <v>-9.1199999999999992</v>
      </c>
      <c r="F14" s="11" t="s">
        <v>74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DB63-FEFF-944E-AE6F-B72FFB07181C}">
  <dimension ref="A1:M5"/>
  <sheetViews>
    <sheetView workbookViewId="0">
      <selection activeCell="B35" sqref="B35"/>
    </sheetView>
  </sheetViews>
  <sheetFormatPr baseColWidth="10" defaultRowHeight="15" x14ac:dyDescent="0.2"/>
  <cols>
    <col min="1" max="1" width="14.33203125" bestFit="1" customWidth="1"/>
    <col min="2" max="2" width="14.83203125" bestFit="1" customWidth="1"/>
    <col min="3" max="3" width="7.1640625" bestFit="1" customWidth="1"/>
    <col min="4" max="4" width="11" bestFit="1" customWidth="1"/>
    <col min="5" max="5" width="6.5" bestFit="1" customWidth="1"/>
    <col min="6" max="6" width="9.5" bestFit="1" customWidth="1"/>
    <col min="7" max="7" width="12.1640625" bestFit="1" customWidth="1"/>
    <col min="8" max="8" width="11.33203125" bestFit="1" customWidth="1"/>
    <col min="9" max="9" width="9.33203125" bestFit="1" customWidth="1"/>
    <col min="10" max="10" width="9.6640625" bestFit="1" customWidth="1"/>
    <col min="11" max="11" width="7.33203125" bestFit="1" customWidth="1"/>
    <col min="12" max="12" width="11.83203125" bestFit="1" customWidth="1"/>
    <col min="13" max="13" width="10" bestFit="1" customWidth="1"/>
  </cols>
  <sheetData>
    <row r="1" spans="1:13" x14ac:dyDescent="0.2">
      <c r="A1" s="1" t="s">
        <v>16</v>
      </c>
      <c r="B1" t="s">
        <v>19</v>
      </c>
    </row>
    <row r="3" spans="1:13" x14ac:dyDescent="0.2">
      <c r="B3" s="1" t="s">
        <v>46</v>
      </c>
    </row>
    <row r="4" spans="1:13" x14ac:dyDescent="0.2">
      <c r="B4" t="s">
        <v>6</v>
      </c>
      <c r="C4" t="s">
        <v>5</v>
      </c>
      <c r="D4" t="s">
        <v>7</v>
      </c>
      <c r="E4" t="s">
        <v>9</v>
      </c>
      <c r="F4" t="s">
        <v>15</v>
      </c>
      <c r="G4" t="s">
        <v>10</v>
      </c>
      <c r="H4" t="s">
        <v>8</v>
      </c>
      <c r="I4" t="s">
        <v>11</v>
      </c>
      <c r="J4" t="s">
        <v>13</v>
      </c>
      <c r="K4" t="s">
        <v>12</v>
      </c>
      <c r="L4" t="s">
        <v>14</v>
      </c>
      <c r="M4" t="s">
        <v>47</v>
      </c>
    </row>
    <row r="5" spans="1:13" x14ac:dyDescent="0.2">
      <c r="A5" t="s">
        <v>48</v>
      </c>
      <c r="B5">
        <v>27.6</v>
      </c>
      <c r="C5">
        <v>26.46</v>
      </c>
      <c r="D5">
        <v>19.38</v>
      </c>
      <c r="E5">
        <v>17.309999999999999</v>
      </c>
      <c r="F5">
        <v>16.11</v>
      </c>
      <c r="G5">
        <v>16.09</v>
      </c>
      <c r="H5">
        <v>14.54</v>
      </c>
      <c r="I5">
        <v>14.53</v>
      </c>
      <c r="J5">
        <v>12.72</v>
      </c>
      <c r="K5">
        <v>12.38</v>
      </c>
      <c r="L5">
        <v>7.58</v>
      </c>
      <c r="M5">
        <v>184.7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activeCell="I12" sqref="I12"/>
    </sheetView>
  </sheetViews>
  <sheetFormatPr baseColWidth="10" defaultColWidth="8.83203125" defaultRowHeight="15" x14ac:dyDescent="0.2"/>
  <cols>
    <col min="1" max="1" width="11.5" bestFit="1" customWidth="1"/>
    <col min="2" max="2" width="11.6640625" bestFit="1" customWidth="1"/>
    <col min="3" max="3" width="6" bestFit="1" customWidth="1"/>
    <col min="4" max="4" width="11.33203125" bestFit="1" customWidth="1"/>
    <col min="5" max="5" width="20.1640625" bestFit="1" customWidth="1"/>
    <col min="6" max="6" width="12.33203125" bestFit="1" customWidth="1"/>
  </cols>
  <sheetData>
    <row r="1" spans="1:6" ht="20" x14ac:dyDescent="0.2">
      <c r="A1" s="2" t="s">
        <v>16</v>
      </c>
      <c r="B1" s="2" t="s">
        <v>4</v>
      </c>
      <c r="C1" s="2" t="s">
        <v>1</v>
      </c>
      <c r="D1" s="2" t="s">
        <v>2</v>
      </c>
      <c r="E1" s="2" t="s">
        <v>39</v>
      </c>
      <c r="F1" s="2" t="s">
        <v>49</v>
      </c>
    </row>
    <row r="2" spans="1:6" ht="16" x14ac:dyDescent="0.2">
      <c r="A2" s="3" t="s">
        <v>20</v>
      </c>
      <c r="B2" s="3" t="s">
        <v>5</v>
      </c>
      <c r="C2" s="3">
        <v>508</v>
      </c>
      <c r="D2" s="12">
        <v>29.72</v>
      </c>
      <c r="E2" s="3">
        <v>3.36</v>
      </c>
      <c r="F2" s="14">
        <f>D2-11.7</f>
        <v>18.02</v>
      </c>
    </row>
    <row r="3" spans="1:6" ht="16" x14ac:dyDescent="0.2">
      <c r="A3" s="3" t="s">
        <v>19</v>
      </c>
      <c r="B3" s="3" t="s">
        <v>6</v>
      </c>
      <c r="C3" s="3">
        <v>366</v>
      </c>
      <c r="D3" s="12">
        <v>27.6</v>
      </c>
      <c r="E3" s="3">
        <v>3.62</v>
      </c>
      <c r="F3" s="14">
        <f>D3-11.7</f>
        <v>15.900000000000002</v>
      </c>
    </row>
    <row r="4" spans="1:6" ht="16" x14ac:dyDescent="0.2">
      <c r="A4" s="3" t="s">
        <v>19</v>
      </c>
      <c r="B4" s="3" t="s">
        <v>5</v>
      </c>
      <c r="C4" s="3">
        <v>223</v>
      </c>
      <c r="D4" s="12">
        <v>26.46</v>
      </c>
      <c r="E4" s="3">
        <v>3.78</v>
      </c>
      <c r="F4" s="14">
        <f>D4-11.7</f>
        <v>14.760000000000002</v>
      </c>
    </row>
    <row r="5" spans="1:6" ht="16" x14ac:dyDescent="0.2">
      <c r="A5" s="3" t="s">
        <v>21</v>
      </c>
      <c r="B5" s="3" t="s">
        <v>6</v>
      </c>
      <c r="C5" s="3">
        <v>795</v>
      </c>
      <c r="D5" s="12">
        <v>22.39</v>
      </c>
      <c r="E5" s="3">
        <v>4.47</v>
      </c>
      <c r="F5" s="14">
        <f>D5-11.7</f>
        <v>10.690000000000001</v>
      </c>
    </row>
    <row r="6" spans="1:6" ht="16" x14ac:dyDescent="0.2">
      <c r="A6" s="3" t="s">
        <v>20</v>
      </c>
      <c r="B6" s="3" t="s">
        <v>6</v>
      </c>
      <c r="C6" s="3">
        <v>984</v>
      </c>
      <c r="D6" s="12">
        <v>21.04</v>
      </c>
      <c r="E6" s="3">
        <v>4.75</v>
      </c>
      <c r="F6" s="14">
        <f>D6-11.7</f>
        <v>9.34</v>
      </c>
    </row>
    <row r="7" spans="1:6" ht="16" x14ac:dyDescent="0.2">
      <c r="A7" s="3" t="s">
        <v>19</v>
      </c>
      <c r="B7" s="3" t="s">
        <v>7</v>
      </c>
      <c r="C7" s="3">
        <v>289</v>
      </c>
      <c r="D7" s="12">
        <v>19.38</v>
      </c>
      <c r="E7" s="3">
        <v>5.16</v>
      </c>
      <c r="F7" s="14">
        <f>D7-11.7</f>
        <v>7.68</v>
      </c>
    </row>
    <row r="8" spans="1:6" ht="16" x14ac:dyDescent="0.2">
      <c r="A8" s="3" t="s">
        <v>19</v>
      </c>
      <c r="B8" s="3" t="s">
        <v>9</v>
      </c>
      <c r="C8" s="3">
        <v>572</v>
      </c>
      <c r="D8" s="12">
        <v>17.309999999999999</v>
      </c>
      <c r="E8" s="3">
        <v>5.78</v>
      </c>
      <c r="F8" s="14">
        <f>D8-11.7</f>
        <v>5.6099999999999994</v>
      </c>
    </row>
    <row r="9" spans="1:6" ht="16" x14ac:dyDescent="0.2">
      <c r="A9" s="3" t="s">
        <v>19</v>
      </c>
      <c r="B9" s="3" t="s">
        <v>15</v>
      </c>
      <c r="C9" s="3">
        <v>149</v>
      </c>
      <c r="D9" s="12">
        <v>16.11</v>
      </c>
      <c r="E9" s="3">
        <v>6.21</v>
      </c>
      <c r="F9" s="14">
        <f>D9-11.7</f>
        <v>4.41</v>
      </c>
    </row>
    <row r="10" spans="1:6" ht="16" x14ac:dyDescent="0.2">
      <c r="A10" s="3" t="s">
        <v>19</v>
      </c>
      <c r="B10" s="3" t="s">
        <v>10</v>
      </c>
      <c r="C10" s="3">
        <v>833</v>
      </c>
      <c r="D10" s="12">
        <v>16.09</v>
      </c>
      <c r="E10" s="3">
        <v>6.22</v>
      </c>
      <c r="F10" s="14">
        <f>D10-11.7</f>
        <v>4.3900000000000006</v>
      </c>
    </row>
    <row r="11" spans="1:6" ht="16" x14ac:dyDescent="0.2">
      <c r="A11" s="3" t="s">
        <v>20</v>
      </c>
      <c r="B11" s="3" t="s">
        <v>7</v>
      </c>
      <c r="C11" s="3">
        <v>728</v>
      </c>
      <c r="D11" s="12">
        <v>14.84</v>
      </c>
      <c r="E11" s="3">
        <v>6.74</v>
      </c>
      <c r="F11" s="14">
        <f>D11-11.7</f>
        <v>3.1400000000000006</v>
      </c>
    </row>
    <row r="12" spans="1:6" ht="16" x14ac:dyDescent="0.2">
      <c r="A12" s="3" t="s">
        <v>19</v>
      </c>
      <c r="B12" s="3" t="s">
        <v>8</v>
      </c>
      <c r="C12" s="3">
        <v>7801</v>
      </c>
      <c r="D12" s="12">
        <v>14.54</v>
      </c>
      <c r="E12" s="3">
        <v>6.88</v>
      </c>
      <c r="F12" s="14">
        <f>D12-11.7</f>
        <v>2.84</v>
      </c>
    </row>
    <row r="13" spans="1:6" ht="16" x14ac:dyDescent="0.2">
      <c r="A13" s="3" t="s">
        <v>19</v>
      </c>
      <c r="B13" s="3" t="s">
        <v>11</v>
      </c>
      <c r="C13" s="3">
        <v>1968</v>
      </c>
      <c r="D13" s="12">
        <v>14.53</v>
      </c>
      <c r="E13" s="3">
        <v>6.88</v>
      </c>
      <c r="F13" s="14">
        <f>D13-11.7</f>
        <v>2.83</v>
      </c>
    </row>
    <row r="14" spans="1:6" ht="16" x14ac:dyDescent="0.2">
      <c r="A14" s="3" t="s">
        <v>21</v>
      </c>
      <c r="B14" s="3" t="s">
        <v>7</v>
      </c>
      <c r="C14" s="3">
        <v>257</v>
      </c>
      <c r="D14" s="12">
        <v>13.23</v>
      </c>
      <c r="E14" s="3">
        <v>7.56</v>
      </c>
      <c r="F14" s="14">
        <f>D14-11.7</f>
        <v>1.5300000000000011</v>
      </c>
    </row>
    <row r="15" spans="1:6" ht="16" x14ac:dyDescent="0.2">
      <c r="A15" s="3" t="s">
        <v>19</v>
      </c>
      <c r="B15" s="3" t="s">
        <v>13</v>
      </c>
      <c r="C15" s="3">
        <v>173</v>
      </c>
      <c r="D15" s="12">
        <v>12.72</v>
      </c>
      <c r="E15" s="3">
        <v>7.86</v>
      </c>
      <c r="F15" s="14">
        <f>D15-11.7</f>
        <v>1.0200000000000014</v>
      </c>
    </row>
    <row r="16" spans="1:6" ht="16" x14ac:dyDescent="0.2">
      <c r="A16" s="3" t="s">
        <v>19</v>
      </c>
      <c r="B16" s="3" t="s">
        <v>12</v>
      </c>
      <c r="C16" s="3">
        <v>202</v>
      </c>
      <c r="D16" s="12">
        <v>12.38</v>
      </c>
      <c r="E16" s="3">
        <v>8.08</v>
      </c>
      <c r="F16" s="14">
        <f>D16-11.7</f>
        <v>0.68000000000000149</v>
      </c>
    </row>
    <row r="17" spans="1:6" ht="16" x14ac:dyDescent="0.2">
      <c r="A17" s="3" t="s">
        <v>20</v>
      </c>
      <c r="B17" s="3" t="s">
        <v>9</v>
      </c>
      <c r="C17" s="3">
        <v>4219</v>
      </c>
      <c r="D17" s="12">
        <v>11.9</v>
      </c>
      <c r="E17" s="3">
        <v>8.4</v>
      </c>
      <c r="F17" s="14">
        <f>D17-11.7</f>
        <v>0.20000000000000107</v>
      </c>
    </row>
    <row r="18" spans="1:6" ht="16" x14ac:dyDescent="0.2">
      <c r="A18" s="4" t="s">
        <v>20</v>
      </c>
      <c r="B18" s="4" t="s">
        <v>11</v>
      </c>
      <c r="C18" s="4">
        <v>5229</v>
      </c>
      <c r="D18" s="13">
        <v>9.91</v>
      </c>
      <c r="E18" s="4">
        <v>10.09</v>
      </c>
      <c r="F18" s="15">
        <f>D18-11.7</f>
        <v>-1.7899999999999991</v>
      </c>
    </row>
    <row r="19" spans="1:6" ht="16" x14ac:dyDescent="0.2">
      <c r="A19" s="4" t="s">
        <v>20</v>
      </c>
      <c r="B19" s="4" t="s">
        <v>14</v>
      </c>
      <c r="C19" s="4">
        <v>542</v>
      </c>
      <c r="D19" s="13">
        <v>9.59</v>
      </c>
      <c r="E19" s="4">
        <v>10.42</v>
      </c>
      <c r="F19" s="15">
        <f>D19-11.7</f>
        <v>-2.1099999999999994</v>
      </c>
    </row>
    <row r="20" spans="1:6" ht="16" x14ac:dyDescent="0.2">
      <c r="A20" s="4" t="s">
        <v>20</v>
      </c>
      <c r="B20" s="4" t="s">
        <v>8</v>
      </c>
      <c r="C20" s="4">
        <v>1121</v>
      </c>
      <c r="D20" s="13">
        <v>8.65</v>
      </c>
      <c r="E20" s="4">
        <v>11.56</v>
      </c>
      <c r="F20" s="15">
        <f>D20-11.7</f>
        <v>-3.0499999999999989</v>
      </c>
    </row>
    <row r="21" spans="1:6" ht="16" x14ac:dyDescent="0.2">
      <c r="A21" s="4" t="s">
        <v>20</v>
      </c>
      <c r="B21" s="4" t="s">
        <v>13</v>
      </c>
      <c r="C21" s="4">
        <v>395</v>
      </c>
      <c r="D21" s="13">
        <v>8.61</v>
      </c>
      <c r="E21" s="4">
        <v>11.62</v>
      </c>
      <c r="F21" s="15">
        <f>D21-11.7</f>
        <v>-3.09</v>
      </c>
    </row>
    <row r="22" spans="1:6" ht="16" x14ac:dyDescent="0.2">
      <c r="A22" s="4" t="s">
        <v>20</v>
      </c>
      <c r="B22" s="4" t="s">
        <v>12</v>
      </c>
      <c r="C22" s="4">
        <v>3457</v>
      </c>
      <c r="D22" s="13">
        <v>8.56</v>
      </c>
      <c r="E22" s="4">
        <v>11.68</v>
      </c>
      <c r="F22" s="15">
        <f>D22-11.7</f>
        <v>-3.1399999999999988</v>
      </c>
    </row>
    <row r="23" spans="1:6" ht="16" x14ac:dyDescent="0.2">
      <c r="A23" s="4" t="s">
        <v>21</v>
      </c>
      <c r="B23" s="4" t="s">
        <v>12</v>
      </c>
      <c r="C23" s="4">
        <v>345</v>
      </c>
      <c r="D23" s="13">
        <v>8.41</v>
      </c>
      <c r="E23" s="4">
        <v>11.9</v>
      </c>
      <c r="F23" s="15">
        <f>D23-11.7</f>
        <v>-3.2899999999999991</v>
      </c>
    </row>
    <row r="24" spans="1:6" ht="16" x14ac:dyDescent="0.2">
      <c r="A24" s="4" t="s">
        <v>21</v>
      </c>
      <c r="B24" s="4" t="s">
        <v>11</v>
      </c>
      <c r="C24" s="4">
        <v>158</v>
      </c>
      <c r="D24" s="13">
        <v>8.23</v>
      </c>
      <c r="E24" s="4">
        <v>12.15</v>
      </c>
      <c r="F24" s="15">
        <f>D24-11.7</f>
        <v>-3.4699999999999989</v>
      </c>
    </row>
    <row r="25" spans="1:6" ht="16" x14ac:dyDescent="0.2">
      <c r="A25" s="4" t="s">
        <v>20</v>
      </c>
      <c r="B25" s="4" t="s">
        <v>15</v>
      </c>
      <c r="C25" s="4">
        <v>5371</v>
      </c>
      <c r="D25" s="13">
        <v>8.06</v>
      </c>
      <c r="E25" s="4">
        <v>12.4</v>
      </c>
      <c r="F25" s="15">
        <f>D25-11.7</f>
        <v>-3.6399999999999988</v>
      </c>
    </row>
    <row r="26" spans="1:6" ht="16" x14ac:dyDescent="0.2">
      <c r="A26" s="4" t="s">
        <v>21</v>
      </c>
      <c r="B26" s="4" t="s">
        <v>13</v>
      </c>
      <c r="C26" s="4">
        <v>627</v>
      </c>
      <c r="D26" s="13">
        <v>7.81</v>
      </c>
      <c r="E26" s="4">
        <v>12.8</v>
      </c>
      <c r="F26" s="15">
        <f>D26-11.7</f>
        <v>-3.8899999999999997</v>
      </c>
    </row>
    <row r="27" spans="1:6" ht="16" x14ac:dyDescent="0.2">
      <c r="A27" s="4" t="s">
        <v>19</v>
      </c>
      <c r="B27" s="4" t="s">
        <v>14</v>
      </c>
      <c r="C27" s="4">
        <v>686</v>
      </c>
      <c r="D27" s="13">
        <v>7.58</v>
      </c>
      <c r="E27" s="4">
        <v>13.19</v>
      </c>
      <c r="F27" s="15">
        <f>D27-11.7</f>
        <v>-4.1199999999999992</v>
      </c>
    </row>
    <row r="28" spans="1:6" ht="16" x14ac:dyDescent="0.2">
      <c r="A28" s="4" t="s">
        <v>21</v>
      </c>
      <c r="B28" s="4" t="s">
        <v>8</v>
      </c>
      <c r="C28" s="4">
        <v>294</v>
      </c>
      <c r="D28" s="13">
        <v>7.48</v>
      </c>
      <c r="E28" s="4">
        <v>13.36</v>
      </c>
      <c r="F28" s="15">
        <f>D28-11.7</f>
        <v>-4.2199999999999989</v>
      </c>
    </row>
    <row r="29" spans="1:6" ht="16" x14ac:dyDescent="0.2">
      <c r="A29" s="4" t="s">
        <v>20</v>
      </c>
      <c r="B29" s="4" t="s">
        <v>10</v>
      </c>
      <c r="C29" s="4">
        <v>577</v>
      </c>
      <c r="D29" s="13">
        <v>7.45</v>
      </c>
      <c r="E29" s="4">
        <v>13.42</v>
      </c>
      <c r="F29" s="15">
        <f>D29-11.7</f>
        <v>-4.2499999999999991</v>
      </c>
    </row>
    <row r="30" spans="1:6" ht="16" x14ac:dyDescent="0.2">
      <c r="A30" s="4" t="s">
        <v>21</v>
      </c>
      <c r="B30" s="4" t="s">
        <v>14</v>
      </c>
      <c r="C30" s="4">
        <v>183</v>
      </c>
      <c r="D30" s="13">
        <v>6.56</v>
      </c>
      <c r="E30" s="4">
        <v>15.25</v>
      </c>
      <c r="F30" s="15">
        <f>D30-11.7</f>
        <v>-5.14</v>
      </c>
    </row>
    <row r="31" spans="1:6" ht="16" x14ac:dyDescent="0.2">
      <c r="A31" s="4" t="s">
        <v>21</v>
      </c>
      <c r="B31" s="4" t="s">
        <v>15</v>
      </c>
      <c r="C31" s="4">
        <v>3758</v>
      </c>
      <c r="D31" s="13">
        <v>5.8</v>
      </c>
      <c r="E31" s="4">
        <v>17.239999999999998</v>
      </c>
      <c r="F31" s="15">
        <f>D31-11.7</f>
        <v>-5.8999999999999995</v>
      </c>
    </row>
    <row r="32" spans="1:6" ht="16" x14ac:dyDescent="0.2">
      <c r="A32" s="4" t="s">
        <v>21</v>
      </c>
      <c r="B32" s="4" t="s">
        <v>9</v>
      </c>
      <c r="C32" s="4">
        <v>209</v>
      </c>
      <c r="D32" s="13">
        <v>5.74</v>
      </c>
      <c r="E32" s="4">
        <v>17.420000000000002</v>
      </c>
      <c r="F32" s="15">
        <f>D32-11.7</f>
        <v>-5.9599999999999991</v>
      </c>
    </row>
    <row r="33" spans="1:6" ht="16" x14ac:dyDescent="0.2">
      <c r="A33" s="4" t="s">
        <v>21</v>
      </c>
      <c r="B33" s="4" t="s">
        <v>10</v>
      </c>
      <c r="C33" s="4">
        <v>130</v>
      </c>
      <c r="D33" s="13">
        <v>3.85</v>
      </c>
      <c r="E33" s="4">
        <v>26</v>
      </c>
      <c r="F33" s="15">
        <f>D33-11.7</f>
        <v>-7.85</v>
      </c>
    </row>
  </sheetData>
  <sortState xmlns:xlrd2="http://schemas.microsoft.com/office/spreadsheetml/2017/richdata2" ref="A2:F33">
    <sortCondition descending="1" ref="D2:D33"/>
  </sortState>
  <pageMargins left="0.75" right="0.75" top="1" bottom="1" header="0.5" footer="0.5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11.6640625" bestFit="1" customWidth="1"/>
    <col min="2" max="2" width="13.33203125" bestFit="1" customWidth="1"/>
    <col min="3" max="3" width="11.6640625" bestFit="1" customWidth="1"/>
    <col min="4" max="4" width="11.33203125" bestFit="1" customWidth="1"/>
    <col min="5" max="5" width="12.33203125" bestFit="1" customWidth="1"/>
    <col min="6" max="6" width="24.1640625" bestFit="1" customWidth="1"/>
  </cols>
  <sheetData>
    <row r="1" spans="1:6" ht="20" x14ac:dyDescent="0.2">
      <c r="A1" s="2" t="s">
        <v>40</v>
      </c>
      <c r="B1" s="2" t="s">
        <v>41</v>
      </c>
      <c r="C1" s="2" t="s">
        <v>0</v>
      </c>
      <c r="D1" s="2" t="s">
        <v>2</v>
      </c>
      <c r="E1" s="2" t="s">
        <v>49</v>
      </c>
      <c r="F1" s="2" t="s">
        <v>75</v>
      </c>
    </row>
    <row r="2" spans="1:6" ht="16" x14ac:dyDescent="0.2">
      <c r="A2" s="3" t="s">
        <v>42</v>
      </c>
      <c r="B2" s="3">
        <v>1511</v>
      </c>
      <c r="C2" s="3">
        <v>978</v>
      </c>
      <c r="D2" s="3">
        <v>64.73</v>
      </c>
      <c r="E2" s="14">
        <f>D2-11.7</f>
        <v>53.03</v>
      </c>
      <c r="F2" s="6" t="s">
        <v>76</v>
      </c>
    </row>
    <row r="3" spans="1:6" ht="16" x14ac:dyDescent="0.2">
      <c r="A3" s="3" t="s">
        <v>43</v>
      </c>
      <c r="B3" s="3">
        <v>1840</v>
      </c>
      <c r="C3" s="3">
        <v>307</v>
      </c>
      <c r="D3" s="3">
        <v>16.68</v>
      </c>
      <c r="E3" s="14">
        <f t="shared" ref="E3:E5" si="0">D3-11.7</f>
        <v>4.9800000000000004</v>
      </c>
      <c r="F3" s="6" t="s">
        <v>78</v>
      </c>
    </row>
    <row r="4" spans="1:6" ht="16" x14ac:dyDescent="0.2">
      <c r="A4" s="3" t="s">
        <v>44</v>
      </c>
      <c r="B4" s="3">
        <v>4901</v>
      </c>
      <c r="C4" s="3">
        <v>618</v>
      </c>
      <c r="D4" s="3">
        <v>12.61</v>
      </c>
      <c r="E4" s="14">
        <f t="shared" si="0"/>
        <v>0.91000000000000014</v>
      </c>
      <c r="F4" s="6" t="s">
        <v>77</v>
      </c>
    </row>
    <row r="5" spans="1:6" ht="16" x14ac:dyDescent="0.2">
      <c r="A5" s="4" t="s">
        <v>45</v>
      </c>
      <c r="B5" s="4">
        <v>36959</v>
      </c>
      <c r="C5" s="4">
        <v>3386</v>
      </c>
      <c r="D5" s="4">
        <v>9.16</v>
      </c>
      <c r="E5" s="15">
        <f t="shared" si="0"/>
        <v>-2.5399999999999991</v>
      </c>
      <c r="F5" s="7" t="s">
        <v>79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 Findings</vt:lpstr>
      <vt:lpstr>Overall</vt:lpstr>
      <vt:lpstr>By_Job</vt:lpstr>
      <vt:lpstr>Sheet1</vt:lpstr>
      <vt:lpstr>By_Education</vt:lpstr>
      <vt:lpstr>Sheet2</vt:lpstr>
      <vt:lpstr>By_Month</vt:lpstr>
      <vt:lpstr>By_Campaign</vt:lpstr>
      <vt:lpstr>Sheet3</vt:lpstr>
      <vt:lpstr>JobxEdu</vt:lpstr>
      <vt:lpstr>By_Outcome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Nimisha Jadav</cp:lastModifiedBy>
  <dcterms:created xsi:type="dcterms:W3CDTF">2026-05-31T15:50:45Z</dcterms:created>
  <dcterms:modified xsi:type="dcterms:W3CDTF">2026-06-01T11:50:29Z</dcterms:modified>
</cp:coreProperties>
</file>